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4.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Totals" sheetId="2" state="visible" r:id="rId4"/>
    <sheet name="Assumptions" sheetId="3" state="visible" r:id="rId5"/>
    <sheet name="Reconciliation" sheetId="4" state="visible" r:id="rId6"/>
    <sheet name="Unresolved inputs" sheetId="5" state="visible" r:id="rId7"/>
    <sheet name="Unit decisions" sheetId="6" state="visible" r:id="rId8"/>
    <sheet name="Draft values to confirm" sheetId="7" state="visible" r:id="rId9"/>
    <sheet name="Knowledge coverage" sheetId="8" state="visible" r:id="rId10"/>
    <sheet name="Scripts review" sheetId="9" state="visible" r:id="rId11"/>
    <sheet name="Proposed S-08" sheetId="10" state="visible" r:id="rId12"/>
    <sheet name="Awaiting approval" sheetId="11" state="visible" r:id="rId13"/>
    <sheet name="Verification evidence" sheetId="12" state="visible" r:id="rId14"/>
  </sheets>
  <definedNames>
    <definedName function="false" hidden="true" localSheetId="3" name="_xlnm._FilterDatabase" vbProcedure="false">Reconciliation!$A$5:$AI$110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<sst xmlns="http://schemas.openxmlformats.org/spreadsheetml/2006/main" count="3184" uniqueCount="679">
  <si>
    <t xml:space="preserve">HHCS CareDesk: catalogue, pricing and training readiness</t>
  </si>
  <si>
    <t xml:space="preserve">Status</t>
  </si>
  <si>
    <t xml:space="preserve">Not ready. No approved final price list was available and the live database could not be read, so no price was imported, approved or activated.</t>
  </si>
  <si>
    <t xml:space="preserve">What this reconciles</t>
  </si>
  <si>
    <t xml:space="preserve">The CRM rate card as the repo migrations define it, against the only catalogue file in the repo: a planning draft ("85 Services Catalogue", 95 rows). The draft is not an approved list.</t>
  </si>
  <si>
    <t xml:space="preserve">Headline counts</t>
  </si>
  <si>
    <t xml:space="preserve">See Totals. All counts are formulas over the Reconciliation sheet.</t>
  </si>
  <si>
    <t xml:space="preserve">Cost confidentiality</t>
  </si>
  <si>
    <t xml:space="preserve">Verified by tests and code reading: see Verification evidence. Two paths (BMM API, partner sheet) were checked by reading only.</t>
  </si>
  <si>
    <t xml:space="preserve">Next step</t>
  </si>
  <si>
    <t xml:space="preserve">Send the approved price list file (or confirm the draft line by line on "Draft values to confirm"), plus the GST basis, effective date and unit decisions. Then run Import rates &gt; Check file and share the check report before Submit.</t>
  </si>
  <si>
    <t xml:space="preserve">Sheets</t>
  </si>
  <si>
    <t xml:space="preserve">Totals, Reconciliation, Unresolved inputs, Unit decisions, Draft values to confirm, Knowledge coverage, Scripts review, Proposed S-08, Awaiting approval, Verification evidence, Assumptions.</t>
  </si>
  <si>
    <t xml:space="preserve">Yellow cells</t>
  </si>
  <si>
    <t xml:space="preserve">For the business owner to fill. Everything else is computed or sourced.</t>
  </si>
  <si>
    <t xml:space="preserve">Totals</t>
  </si>
  <si>
    <t xml:space="preserve">Every count is a formula over the Reconciliation sheet. "Approved list" cannot be counted: no approved list was available.</t>
  </si>
  <si>
    <t xml:space="preserve">Measure</t>
  </si>
  <si>
    <t xml:space="preserve">Against the approved list</t>
  </si>
  <si>
    <t xml:space="preserve">CRM rate card (repo migrations)</t>
  </si>
  <si>
    <t xml:space="preserve">Unapproved draft (reference only)</t>
  </si>
  <si>
    <t xml:space="preserve">How it is counted</t>
  </si>
  <si>
    <t xml:space="preserve">Expected services</t>
  </si>
  <si>
    <t xml:space="preserve">Not determinable</t>
  </si>
  <si>
    <t xml:space="preserve">Rows present in each source. The 80 to 90 figure is an expectation only; the draft has 95 rows despite its "85" title.</t>
  </si>
  <si>
    <t xml:space="preserve">Matched (same code in CRM and draft)</t>
  </si>
  <si>
    <t xml:space="preserve">Exact code only. Similar names are never matched (importer rule).</t>
  </si>
  <si>
    <t xml:space="preserve">Missing from the CRM</t>
  </si>
  <si>
    <t xml:space="preserve">In the draft, not on the rate card.</t>
  </si>
  <si>
    <t xml:space="preserve">On the CRM but not in the draft</t>
  </si>
  <si>
    <t xml:space="preserve">Mostly generic BMM codes and the three home X-ray items.</t>
  </si>
  <si>
    <t xml:space="preserve">Duplicate codes</t>
  </si>
  <si>
    <t xml:space="preserve">0</t>
  </si>
  <si>
    <t xml:space="preserve">Codes appearing more than once. The draft was checked separately in Python: 95 rows, 95 unique codes, no duplicate names.</t>
  </si>
  <si>
    <t xml:space="preserve">Possible overlaps (generic vs specific)</t>
  </si>
  <si>
    <t xml:space="preserve">E.g. BED-HOSP vs BED-SEMI / BED-FOWL; XR-HOME vs XR-CHEST. A business decision, not merged automatically.</t>
  </si>
  <si>
    <t xml:space="preserve">Inactive</t>
  </si>
  <si>
    <t xml:space="preserve">services.active = false.</t>
  </si>
  <si>
    <t xml:space="preserve">Awaiting approval</t>
  </si>
  <si>
    <t xml:space="preserve">0 in repo; live unknown</t>
  </si>
  <si>
    <t xml:space="preserve">No rate_imports and no pending approvals exist in the migration end state. Live Approvals page not readable from here.</t>
  </si>
  <si>
    <t xml:space="preserve">Active but not priced (Rs 0)</t>
  </si>
  <si>
    <t xml:space="preserve">Seeded with price 0 and an automatic approved_at; not quotable.</t>
  </si>
  <si>
    <t xml:space="preserve">Missing buying cost</t>
  </si>
  <si>
    <t xml:space="preserve">provider_rates has 0 rows in the migration end state.</t>
  </si>
  <si>
    <t xml:space="preserve">Buying cost derivable by the 70% rule now</t>
  </si>
  <si>
    <t xml:space="preserve">CRM rows with a selling price above 0.</t>
  </si>
  <si>
    <t xml:space="preserve">Draft B2B not equal to 70% of draft B2C</t>
  </si>
  <si>
    <t xml:space="preserve">Would be provider-specific exceptions. None is documented as approved.</t>
  </si>
  <si>
    <t xml:space="preserve">Unit mismatch or unit needing a decision</t>
  </si>
  <si>
    <t xml:space="preserve">Different wording between sources, 24 h labelled "shift", pack size differences, free-text units.</t>
  </si>
  <si>
    <t xml:space="preserve">GST basis not confirmed</t>
  </si>
  <si>
    <t xml:space="preserve">No row in either source states incl_gst / excl_gst / no_gst.</t>
  </si>
  <si>
    <t xml:space="preserve">Tax mismatch (two confirmed bases disagree)</t>
  </si>
  <si>
    <t xml:space="preserve">Cannot occur yet: no basis is confirmed anywhere.</t>
  </si>
  <si>
    <t xml:space="preserve">Effective date missing</t>
  </si>
  <si>
    <t xml:space="preserve">Neither source carries an effective date.</t>
  </si>
  <si>
    <t xml:space="preserve">Knowledge gaps (no service-specific notes)</t>
  </si>
  <si>
    <t xml:space="preserve">service_knowledge holds 12 category defaults and 0 service rows.</t>
  </si>
  <si>
    <t xml:space="preserve">Name or meaning differs on a matched code</t>
  </si>
  <si>
    <t xml:space="preserve">VISIT-STD: "Home visit charge" vs "Home Assessment &amp; Care Coordinator Visit".</t>
  </si>
  <si>
    <t xml:space="preserve">Assumptions</t>
  </si>
  <si>
    <t xml:space="preserve">Item</t>
  </si>
  <si>
    <t xml:space="preserve">Value</t>
  </si>
  <si>
    <t xml:space="preserve">Source</t>
  </si>
  <si>
    <t xml:space="preserve">B2B as a share of B2C (HHCS rule)</t>
  </si>
  <si>
    <t xml:space="preserve">docs/RATES-AND-MARGINS.md, "B2B = % of B2C": HHCS rule (Oct 2026) 70; commit 3af8698. Used only for the derivation column; the importer computes the real value on the server.</t>
  </si>
  <si>
    <t xml:space="preserve">Provider by category</t>
  </si>
  <si>
    <t xml:space="preserve">SM / BMM</t>
  </si>
  <si>
    <t xml:space="preserve">docs/RATES-AND-MARGINS.md: lab, X-ray, ECG and visit to SecondMedic; everything else (incl. "other") to Book My Medicare.</t>
  </si>
  <si>
    <t xml:space="preserve">Unit comparison</t>
  </si>
  <si>
    <t xml:space="preserve">normalised</t>
  </si>
  <si>
    <t xml:space="preserve">Trimmed, lower-cased, leading "per" dropped. Never converted (docs/RATES-AND-MARGINS.md, Terms &gt; Unit).</t>
  </si>
  <si>
    <t xml:space="preserve">Service reconciliation: CRM rate card vs the only catalogue file found (unapproved draft)</t>
  </si>
  <si>
    <t xml:space="preserve">No approved final price list was available, and the live database could not be read. "Approved B2C" is therefore blank on every row. CRM values are the end state of all repo migrations applied to a throwaway database; the live database may differ if imports or approvals were done in the app.</t>
  </si>
  <si>
    <t xml:space="preserve">Code</t>
  </si>
  <si>
    <t xml:space="preserve">CRM name</t>
  </si>
  <si>
    <t xml:space="preserve">Draft name</t>
  </si>
  <si>
    <t xml:space="preserve">Category</t>
  </si>
  <si>
    <t xml:space="preserve">Delivery provider (routing)</t>
  </si>
  <si>
    <t xml:space="preserve">Draft provider</t>
  </si>
  <si>
    <t xml:space="preserve">CRM unit</t>
  </si>
  <si>
    <t xml:space="preserve">Draft unit</t>
  </si>
  <si>
    <t xml:space="preserve">Unit note</t>
  </si>
  <si>
    <t xml:space="preserve">CRM B2C (Rs)</t>
  </si>
  <si>
    <t xml:space="preserve">Draft B2C (Rs, unapproved)</t>
  </si>
  <si>
    <t xml:space="preserve">Approved B2C (Rs)</t>
  </si>
  <si>
    <t xml:space="preserve">B2C status</t>
  </si>
  <si>
    <t xml:space="preserve">CRM B2B</t>
  </si>
  <si>
    <t xml:space="preserve">Draft B2B (Rs, unapproved)</t>
  </si>
  <si>
    <t xml:space="preserve">70% of CRM B2C (Rs, derivation)</t>
  </si>
  <si>
    <t xml:space="preserve">Draft B2B vs 70% of draft B2C</t>
  </si>
  <si>
    <t xml:space="preserve">B2B status</t>
  </si>
  <si>
    <t xml:space="preserve">CRM GST basis</t>
  </si>
  <si>
    <t xml:space="preserve">Draft GST</t>
  </si>
  <si>
    <t xml:space="preserve">Tax status</t>
  </si>
  <si>
    <t xml:space="preserve">Effective date</t>
  </si>
  <si>
    <t xml:space="preserve">Approval / activation</t>
  </si>
  <si>
    <t xml:space="preserve">Knowledge coverage</t>
  </si>
  <si>
    <t xml:space="preserve">On CRM rate card</t>
  </si>
  <si>
    <t xml:space="preserve">In draft</t>
  </si>
  <si>
    <t xml:space="preserve">Possible overlap with</t>
  </si>
  <si>
    <t xml:space="preserve">Issues</t>
  </si>
  <si>
    <t xml:space="preserve">Flag: unit</t>
  </si>
  <si>
    <t xml:space="preserve">Flag: GST basis</t>
  </si>
  <si>
    <t xml:space="preserve">Flag: no B2B</t>
  </si>
  <si>
    <t xml:space="preserve">Flag: knowledge</t>
  </si>
  <si>
    <t xml:space="preserve">Flag: overlap</t>
  </si>
  <si>
    <t xml:space="preserve">Flag: unpriced</t>
  </si>
  <si>
    <t xml:space="preserve">Flag: meaning differs</t>
  </si>
  <si>
    <t xml:space="preserve">BED-FOWL</t>
  </si>
  <si>
    <t xml:space="preserve">Full Fowler 2-Function Hospital Bed (Rental)</t>
  </si>
  <si>
    <t xml:space="preserve">beds</t>
  </si>
  <si>
    <t xml:space="preserve">Book My Medicare (BMM)</t>
  </si>
  <si>
    <t xml:space="preserve">day</t>
  </si>
  <si>
    <t xml:space="preserve">Daily rental. No monthly rental rate exists in any source; a month is not 30 day rates.</t>
  </si>
  <si>
    <t xml:space="preserve">Not on the CRM rate card</t>
  </si>
  <si>
    <t xml:space="preserve">Not loaded</t>
  </si>
  <si>
    <t xml:space="preserve">Not loaded. Draft B2B is unapproved.</t>
  </si>
  <si>
    <t xml:space="preserve">18% GST</t>
  </si>
  <si>
    <t xml:space="preserve">Not confirmed: CRM basis is empty; draft gives a GST rate, not whether prices include it</t>
  </si>
  <si>
    <t xml:space="preserve">Not given</t>
  </si>
  <si>
    <t xml:space="preserve">No service yet. Category notes (beds) would apply after import.</t>
  </si>
  <si>
    <t xml:space="preserve">N</t>
  </si>
  <si>
    <t xml:space="preserve">Y</t>
  </si>
  <si>
    <t xml:space="preserve">BED-HOSP</t>
  </si>
  <si>
    <t xml:space="preserve">GST basis, Knowledge, Possible overlap</t>
  </si>
  <si>
    <t xml:space="preserve">Hospital bed on rent</t>
  </si>
  <si>
    <t xml:space="preserve">Not priced: Rs 0 placeholder, agents see "quote required"</t>
  </si>
  <si>
    <t xml:space="preserve">None (0 buying rates in CRM)</t>
  </si>
  <si>
    <t xml:space="preserve">No buying rate, and none derivable: no selling price.</t>
  </si>
  <si>
    <t xml:space="preserve">Not set</t>
  </si>
  <si>
    <t xml:space="preserve">Not confirmed: CRM basis is empty</t>
  </si>
  <si>
    <t xml:space="preserve">Active, not quotable (Rs 0)</t>
  </si>
  <si>
    <t xml:space="preserve">Category notes only (beds). No service-specific notes.</t>
  </si>
  <si>
    <t xml:space="preserve">BED-SEMI, BED-FOWL</t>
  </si>
  <si>
    <t xml:space="preserve">Unpriced, No B2B, GST basis, Knowledge, Possible overlap</t>
  </si>
  <si>
    <t xml:space="preserve">BED-ICU</t>
  </si>
  <si>
    <t xml:space="preserve">ICU bed (motorised), rental</t>
  </si>
  <si>
    <t xml:space="preserve">Motorized ICU Bed (3/5 Function with Remote)</t>
  </si>
  <si>
    <t xml:space="preserve">No buying rate, and none derivable: no selling price. Draft B2B is unapproved.</t>
  </si>
  <si>
    <t xml:space="preserve">Unpriced, No B2B, GST basis, Knowledge</t>
  </si>
  <si>
    <t xml:space="preserve">BED-SEMI</t>
  </si>
  <si>
    <t xml:space="preserve">Semi-Fowler Hospital Bed with Railings (Rental)</t>
  </si>
  <si>
    <t xml:space="preserve">TYNA-BED</t>
  </si>
  <si>
    <t xml:space="preserve">Tyna Bed / Positioning Alternating Mattress</t>
  </si>
  <si>
    <t xml:space="preserve">Tubular High-Risk Pressure Redistribution Bed</t>
  </si>
  <si>
    <t xml:space="preserve">ADULT-DIAP</t>
  </si>
  <si>
    <t xml:space="preserve">Adult Diapers Tape-Style (Pack of 10 Large)</t>
  </si>
  <si>
    <t xml:space="preserve">consumables</t>
  </si>
  <si>
    <t xml:space="preserve">box</t>
  </si>
  <si>
    <t xml:space="preserve">Only one source; unit as given</t>
  </si>
  <si>
    <t xml:space="preserve">12% GST</t>
  </si>
  <si>
    <t xml:space="preserve">No service yet. Category notes (consumables) would apply after import.</t>
  </si>
  <si>
    <t xml:space="preserve">GST basis, Knowledge</t>
  </si>
  <si>
    <t xml:space="preserve">BIPAP-MASK</t>
  </si>
  <si>
    <t xml:space="preserve">Full-Face Non-Vented BiPAP Cushion Mask</t>
  </si>
  <si>
    <t xml:space="preserve">unit</t>
  </si>
  <si>
    <t xml:space="preserve">CAVILON-SP</t>
  </si>
  <si>
    <t xml:space="preserve">3M Cavilon No-Sting Barrier Film Spray</t>
  </si>
  <si>
    <t xml:space="preserve">3M Cavilon No-Sting Barrier Film Spray (28ml)</t>
  </si>
  <si>
    <t xml:space="preserve">Same unit</t>
  </si>
  <si>
    <t xml:space="preserve">Category notes only (consumables). No service-specific notes.</t>
  </si>
  <si>
    <t xml:space="preserve">FEED-SYR-60</t>
  </si>
  <si>
    <t xml:space="preserve">Feeding Syringe (Catheter Tip 50/60ml)</t>
  </si>
  <si>
    <t xml:space="preserve">Catheter-Tip Feeding Syringes (60ml, Pack of 5)</t>
  </si>
  <si>
    <t xml:space="preserve">Pack size differs: rate card sells one syringe ("unit"), draft sells a pack of 5 ("box"). Different product; never convert.</t>
  </si>
  <si>
    <t xml:space="preserve">Unit, Unpriced, No B2B, GST basis, Knowledge</t>
  </si>
  <si>
    <t xml:space="preserve">FOLEY-CATH</t>
  </si>
  <si>
    <t xml:space="preserve">Silicone Foley Balloon Catheter (All Sizes)</t>
  </si>
  <si>
    <t xml:space="preserve">GLOVES-BOX</t>
  </si>
  <si>
    <t xml:space="preserve">Examination Gloves Box (100 pcs)</t>
  </si>
  <si>
    <t xml:space="preserve">Examination Gloves Box (Powder-Free, 100 pcs)</t>
  </si>
  <si>
    <t xml:space="preserve">GLOVES-STER</t>
  </si>
  <si>
    <t xml:space="preserve">Surgical Sterile Gloves Pairs (Pack of 10)</t>
  </si>
  <si>
    <t xml:space="preserve">HFNC-KIT</t>
  </si>
  <si>
    <t xml:space="preserve">Optiflow Nasal Interface &amp; Heated Breathing Tube</t>
  </si>
  <si>
    <t xml:space="preserve">HME-FILTER</t>
  </si>
  <si>
    <t xml:space="preserve">Heat &amp; Moisture Exchanger (HME) Filter Pack</t>
  </si>
  <si>
    <t xml:space="preserve">IV-CAN-SET</t>
  </si>
  <si>
    <t xml:space="preserve">IV Infusion Administration Set with Micro-Drip</t>
  </si>
  <si>
    <t xml:space="preserve">MOIST-CREAM</t>
  </si>
  <si>
    <t xml:space="preserve">Moisturex Soft Skin Barrier Cream</t>
  </si>
  <si>
    <t xml:space="preserve">Moisturex Soft Protective Barrier Emollient Cream</t>
  </si>
  <si>
    <t xml:space="preserve">MOUTH-CHX</t>
  </si>
  <si>
    <t xml:space="preserve">Chlorhexidine Mouthwash (Oral Care)</t>
  </si>
  <si>
    <t xml:space="preserve">Chlorhexidine Gluconate 0.2% Oral Care Rinse</t>
  </si>
  <si>
    <t xml:space="preserve">OXY-CANNULA</t>
  </si>
  <si>
    <t xml:space="preserve">Nasal Oxygen Cannula with Twin Prong Tubing</t>
  </si>
  <si>
    <t xml:space="preserve">OXY-MASK</t>
  </si>
  <si>
    <t xml:space="preserve">Venturi / High-Concentration Oxygen Mask</t>
  </si>
  <si>
    <t xml:space="preserve">RYLE-TUBE</t>
  </si>
  <si>
    <t xml:space="preserve">Ryle's Nasogastric Feeding Tube with Guide Wire</t>
  </si>
  <si>
    <t xml:space="preserve">SUCT-CATH</t>
  </si>
  <si>
    <t xml:space="preserve">Mucus Extractor &amp; Suction Catheters (10 pcs)</t>
  </si>
  <si>
    <t xml:space="preserve">TRACH-TUBE</t>
  </si>
  <si>
    <t xml:space="preserve">Cuffed / Uncuffed Tracheostomy Tube (Shiley Type)</t>
  </si>
  <si>
    <t xml:space="preserve">UNDER-PAD</t>
  </si>
  <si>
    <t xml:space="preserve">Super-Absorbent Bed Underpads (Pack of 10)</t>
  </si>
  <si>
    <t xml:space="preserve">URO-BAG</t>
  </si>
  <si>
    <t xml:space="preserve">Urine Drainage Collection Bag with Anti-Reflux</t>
  </si>
  <si>
    <t xml:space="preserve">VENT-CIRCUIT</t>
  </si>
  <si>
    <t xml:space="preserve">Dual-Limb Ventilator Patient Circuit with Chamber</t>
  </si>
  <si>
    <t xml:space="preserve">ECG-12</t>
  </si>
  <si>
    <t xml:space="preserve">ECG at home (12-lead)</t>
  </si>
  <si>
    <t xml:space="preserve">ECG at Home (12-Lead Diagnostic ECG)</t>
  </si>
  <si>
    <t xml:space="preserve">ecg</t>
  </si>
  <si>
    <t xml:space="preserve">SecondMedic (SM)</t>
  </si>
  <si>
    <t xml:space="preserve">test</t>
  </si>
  <si>
    <t xml:space="preserve">Rate card "unit" vs draft "test". The importer refuses the row until one wording is chosen.</t>
  </si>
  <si>
    <t xml:space="preserve">Price written by migration 20261008100500 (proposal deck). No in-app approval record or named approver in the repo.</t>
  </si>
  <si>
    <t xml:space="preserve">No buying rate. The 70% rule can derive one at import from the selling price. Draft B2B is unapproved.</t>
  </si>
  <si>
    <t xml:space="preserve">Exempt</t>
  </si>
  <si>
    <t xml:space="preserve">Active, quotable</t>
  </si>
  <si>
    <t xml:space="preserve">Category notes only (ecg). No service-specific notes.</t>
  </si>
  <si>
    <t xml:space="preserve">Unit, No B2B, GST basis, Knowledge</t>
  </si>
  <si>
    <t xml:space="preserve">ECG-RPT</t>
  </si>
  <si>
    <t xml:space="preserve">Follow-up / Repeat ECG at Home</t>
  </si>
  <si>
    <t xml:space="preserve">New item uses "test"; existing ecg services use "unit". Align the wording before import.</t>
  </si>
  <si>
    <t xml:space="preserve">No service yet. Category notes (ecg) would apply after import.</t>
  </si>
  <si>
    <t xml:space="preserve">Unit, GST basis, Knowledge</t>
  </si>
  <si>
    <t xml:space="preserve">ATTEND-12H</t>
  </si>
  <si>
    <t xml:space="preserve">Attendant, 12-hour shift</t>
  </si>
  <si>
    <t xml:space="preserve">Trained Patient Attendant / Caretaker (12-Hour)</t>
  </si>
  <si>
    <t xml:space="preserve">eldercare</t>
  </si>
  <si>
    <t xml:space="preserve">shift</t>
  </si>
  <si>
    <t xml:space="preserve">12-hour shift. Confirm "shift" means 12 hours for every provider.</t>
  </si>
  <si>
    <t xml:space="preserve">Category notes only (eldercare). No service-specific notes.</t>
  </si>
  <si>
    <t xml:space="preserve">ELDER-CARE</t>
  </si>
  <si>
    <t xml:space="preserve">ATTEND-24H</t>
  </si>
  <si>
    <t xml:space="preserve">Trained Patient Attendant / Caretaker (24-Hour)</t>
  </si>
  <si>
    <t xml:space="preserve">24-hour cover labelled "shift", the same unit as the 12-hour services. Needs its own unit (e.g. "24 hours") before import.</t>
  </si>
  <si>
    <t xml:space="preserve">No service yet. Category notes (eldercare) would apply after import.</t>
  </si>
  <si>
    <t xml:space="preserve">Unit, GST basis, Knowledge, Possible overlap</t>
  </si>
  <si>
    <t xml:space="preserve">Elder care attendant</t>
  </si>
  <si>
    <t xml:space="preserve">ATTEND-12H, ATTEND-24H</t>
  </si>
  <si>
    <t xml:space="preserve">AIRBED</t>
  </si>
  <si>
    <t xml:space="preserve">Air mattress, rental</t>
  </si>
  <si>
    <t xml:space="preserve">Alternating Pressure Bubble Air Mattress</t>
  </si>
  <si>
    <t xml:space="preserve">equipment</t>
  </si>
  <si>
    <t xml:space="preserve">Category notes only (equipment). No service-specific notes.</t>
  </si>
  <si>
    <t xml:space="preserve">BIPAP-AUTO</t>
  </si>
  <si>
    <t xml:space="preserve">Auto BiPAP / CPAP Machine with Humidifier</t>
  </si>
  <si>
    <t xml:space="preserve">No service yet. Category notes (equipment) would apply after import.</t>
  </si>
  <si>
    <t xml:space="preserve">VENT-HOME</t>
  </si>
  <si>
    <t xml:space="preserve">BP-MONITOR</t>
  </si>
  <si>
    <t xml:space="preserve">Blood Pressure Apparatus (Digital/Manual)</t>
  </si>
  <si>
    <t xml:space="preserve">Digital NIBP Blood Pressure Monitor</t>
  </si>
  <si>
    <t xml:space="preserve">GLUCOMETER</t>
  </si>
  <si>
    <t xml:space="preserve">Glucometer Device with Lancing Pen</t>
  </si>
  <si>
    <t xml:space="preserve">HFNC</t>
  </si>
  <si>
    <t xml:space="preserve">High-flow (HF) oxygen machine, rental</t>
  </si>
  <si>
    <t xml:space="preserve">High-Flow Nasal Cannula (Airvo 2) System</t>
  </si>
  <si>
    <t xml:space="preserve">MONITOR</t>
  </si>
  <si>
    <t xml:space="preserve">Multipara monitor, rental</t>
  </si>
  <si>
    <t xml:space="preserve">Multipara Vital Signs Monitor (ECG, NIBP, SpO2, Temp)</t>
  </si>
  <si>
    <t xml:space="preserve">NEBULIZER</t>
  </si>
  <si>
    <t xml:space="preserve">Medical Compressor Nebulizer Machine</t>
  </si>
  <si>
    <t xml:space="preserve">OXY-CONC</t>
  </si>
  <si>
    <t xml:space="preserve">Oxygen concentrator, rental</t>
  </si>
  <si>
    <t xml:space="preserve">OXY-CONC5, OXY-CONC10</t>
  </si>
  <si>
    <t xml:space="preserve">OXY-CONC10</t>
  </si>
  <si>
    <t xml:space="preserve">Oxygen Concentrator 10 Litre High Flow</t>
  </si>
  <si>
    <t xml:space="preserve">OXY-CONC5</t>
  </si>
  <si>
    <t xml:space="preserve">Oxygen Concentrator 5 Litre (Medical Grade)</t>
  </si>
  <si>
    <t xml:space="preserve">OXY-CYL</t>
  </si>
  <si>
    <t xml:space="preserve">Oxygen Cylinder (with Regulator &amp; Flowmeter)</t>
  </si>
  <si>
    <t xml:space="preserve">OXY-CYL-D, OXY-CYL-B</t>
  </si>
  <si>
    <t xml:space="preserve">OXY-CYL-B</t>
  </si>
  <si>
    <t xml:space="preserve">Oxygen Cylinder Portable B-Type (10L Refillable)</t>
  </si>
  <si>
    <t xml:space="preserve">OXY-CYL-D</t>
  </si>
  <si>
    <t xml:space="preserve">Oxygen Cylinder Jumbo D-Type (Bulk 46.7L)</t>
  </si>
  <si>
    <t xml:space="preserve">OXY-REFILL</t>
  </si>
  <si>
    <t xml:space="preserve">Oxygen Gas Refill (Medical Grade D-Type)</t>
  </si>
  <si>
    <t xml:space="preserve">PAT-LIFT</t>
  </si>
  <si>
    <t xml:space="preserve">Hydraulic Patient Transfer Hoist / Lift</t>
  </si>
  <si>
    <t xml:space="preserve">SPO2-PROBE</t>
  </si>
  <si>
    <t xml:space="preserve">Pulse Oximeter / SpO2 Probe</t>
  </si>
  <si>
    <t xml:space="preserve">Finger Pulse Oximeter with OLED Display</t>
  </si>
  <si>
    <t xml:space="preserve">SUCTION</t>
  </si>
  <si>
    <t xml:space="preserve">Suction machine, rental</t>
  </si>
  <si>
    <t xml:space="preserve">Electric Medical Suction Machine (Single/Dual Jar)</t>
  </si>
  <si>
    <t xml:space="preserve">SYR-PUMP</t>
  </si>
  <si>
    <t xml:space="preserve">Precision Syringe Infusion Pump (Rental)</t>
  </si>
  <si>
    <t xml:space="preserve">THERMO-DIG</t>
  </si>
  <si>
    <t xml:space="preserve">Clinical Digital Thermometer</t>
  </si>
  <si>
    <t xml:space="preserve">VOL-PUMP</t>
  </si>
  <si>
    <t xml:space="preserve">Volumetric IV Infusion Pump (Rental)</t>
  </si>
  <si>
    <t xml:space="preserve">WALK-STICK</t>
  </si>
  <si>
    <t xml:space="preserve">Quadripod Walking Stick (Wide Base)</t>
  </si>
  <si>
    <t xml:space="preserve">WALKER-ADJ</t>
  </si>
  <si>
    <t xml:space="preserve">Foldable Height-Adjustable Adult Walker</t>
  </si>
  <si>
    <t xml:space="preserve">WHEEL-COMM</t>
  </si>
  <si>
    <t xml:space="preserve">Commode Wheelchair with Removable Pan</t>
  </si>
  <si>
    <t xml:space="preserve">WHEEL-STD</t>
  </si>
  <si>
    <t xml:space="preserve">Standard Folding Wheelchair (Rental)</t>
  </si>
  <si>
    <t xml:space="preserve">HOMECARE</t>
  </si>
  <si>
    <t xml:space="preserve">Other home healthcare service</t>
  </si>
  <si>
    <t xml:space="preserve">homecare</t>
  </si>
  <si>
    <t xml:space="preserve">Category notes only (homecare). No service-specific notes.</t>
  </si>
  <si>
    <t xml:space="preserve">MINI-ICU</t>
  </si>
  <si>
    <t xml:space="preserve">Mini-ICU setup at home</t>
  </si>
  <si>
    <t xml:space="preserve">Complete Mini-ICU Home Setup (Bed+Vent+Monitor)</t>
  </si>
  <si>
    <t xml:space="preserve">icu</t>
  </si>
  <si>
    <t xml:space="preserve">setup</t>
  </si>
  <si>
    <t xml:space="preserve">Category notes only (icu). No service-specific notes.</t>
  </si>
  <si>
    <t xml:space="preserve">Home ventilator (BiPAP / ventilator), rental</t>
  </si>
  <si>
    <t xml:space="preserve">Home Invasive/Non-Invasive Mechanical Ventilator</t>
  </si>
  <si>
    <t xml:space="preserve">LAB-ABG</t>
  </si>
  <si>
    <t xml:space="preserve">Arterial Blood Gas Analysis (ABG Sample)</t>
  </si>
  <si>
    <t xml:space="preserve">lab</t>
  </si>
  <si>
    <t xml:space="preserve">New item uses "test"; existing lab services use "unit". Align the wording before import.</t>
  </si>
  <si>
    <t xml:space="preserve">No service yet. Category notes (lab) would apply after import.</t>
  </si>
  <si>
    <t xml:space="preserve">LAB-B12</t>
  </si>
  <si>
    <t xml:space="preserve">Vitamin B12 Cyanocobalamin</t>
  </si>
  <si>
    <t xml:space="preserve">LAB-BLOODC</t>
  </si>
  <si>
    <t xml:space="preserve">Blood Culture &amp; Sensitivity (Aerobic/Anaerobic)</t>
  </si>
  <si>
    <t xml:space="preserve">LAB-CBC</t>
  </si>
  <si>
    <t xml:space="preserve">Complete Blood Count</t>
  </si>
  <si>
    <t xml:space="preserve">Complete Blood Count (CBC)</t>
  </si>
  <si>
    <t xml:space="preserve">Category notes only (lab). No service-specific notes.</t>
  </si>
  <si>
    <t xml:space="preserve">LAB-CRP</t>
  </si>
  <si>
    <t xml:space="preserve">C-Reactive Protein (Quantitative CRP)</t>
  </si>
  <si>
    <t xml:space="preserve">LAB-DDIMER</t>
  </si>
  <si>
    <t xml:space="preserve">D-Dimer Test</t>
  </si>
  <si>
    <t xml:space="preserve">LAB-ELECT</t>
  </si>
  <si>
    <t xml:space="preserve">Serum Electrolytes (Na, K, Cl)</t>
  </si>
  <si>
    <t xml:space="preserve">LAB-HBA1C</t>
  </si>
  <si>
    <t xml:space="preserve">HbA1c</t>
  </si>
  <si>
    <t xml:space="preserve">HbA1c Glycated Hemoglobin</t>
  </si>
  <si>
    <t xml:space="preserve">LAB-ICUPAN</t>
  </si>
  <si>
    <t xml:space="preserve">Post-ICU Transition Recovery Profile</t>
  </si>
  <si>
    <t xml:space="preserve">LAB-KFT</t>
  </si>
  <si>
    <t xml:space="preserve">Kidney Function Test</t>
  </si>
  <si>
    <t xml:space="preserve">Kidney Function Test (KFT / RFT)</t>
  </si>
  <si>
    <t xml:space="preserve">LAB-LFT</t>
  </si>
  <si>
    <t xml:space="preserve">Liver Function Test</t>
  </si>
  <si>
    <t xml:space="preserve">Liver Function Test (LFT)</t>
  </si>
  <si>
    <t xml:space="preserve">LAB-LIPID</t>
  </si>
  <si>
    <t xml:space="preserve">Lipid Profile</t>
  </si>
  <si>
    <t xml:space="preserve">Lipid Profile (Cholesterol &amp; Triglycerides)</t>
  </si>
  <si>
    <t xml:space="preserve">LAB-PANEL</t>
  </si>
  <si>
    <t xml:space="preserve">Senior Citizen Health Panel</t>
  </si>
  <si>
    <t xml:space="preserve">Senior Citizen Comprehensive Health Panel</t>
  </si>
  <si>
    <t xml:space="preserve">LAB-PROCAL</t>
  </si>
  <si>
    <t xml:space="preserve">Procalcitonin (PCT) Sepsis Marker</t>
  </si>
  <si>
    <t xml:space="preserve">LAB-PTINR</t>
  </si>
  <si>
    <t xml:space="preserve">Prothrombin Time with INR (PT-INR)</t>
  </si>
  <si>
    <t xml:space="preserve">LAB-THY</t>
  </si>
  <si>
    <t xml:space="preserve">Thyroid Profile (T3, T4, TSH)</t>
  </si>
  <si>
    <t xml:space="preserve">Thyroid Panel (Total T3, T4, TSH)</t>
  </si>
  <si>
    <t xml:space="preserve">LAB-URINE</t>
  </si>
  <si>
    <t xml:space="preserve">Urine Routine &amp; Microscopic Examination</t>
  </si>
  <si>
    <t xml:space="preserve">LAB-URINEC</t>
  </si>
  <si>
    <t xml:space="preserve">Urine Culture &amp; Antibiotic Sensitivity</t>
  </si>
  <si>
    <t xml:space="preserve">LAB-VITD</t>
  </si>
  <si>
    <t xml:space="preserve">Vitamin D 25-Hydroxy</t>
  </si>
  <si>
    <t xml:space="preserve">NURS-BEDSOR</t>
  </si>
  <si>
    <t xml:space="preserve">Bed Sore Debridement &amp; Advanced Dressing</t>
  </si>
  <si>
    <t xml:space="preserve">nursing</t>
  </si>
  <si>
    <t xml:space="preserve">session</t>
  </si>
  <si>
    <t xml:space="preserve">No service yet. Category notes (nursing) would apply after import.</t>
  </si>
  <si>
    <t xml:space="preserve">NURS-CATH</t>
  </si>
  <si>
    <t xml:space="preserve">Urinary Catheterization (Foley Insertion/Change)</t>
  </si>
  <si>
    <t xml:space="preserve">NURS-DRESS</t>
  </si>
  <si>
    <t xml:space="preserve">Surgical Wound Dressing &amp; Care (Sterile)</t>
  </si>
  <si>
    <t xml:space="preserve">NURS-HOME</t>
  </si>
  <si>
    <t xml:space="preserve">Nursing care at home</t>
  </si>
  <si>
    <t xml:space="preserve">Category notes only (nursing). No service-specific notes.</t>
  </si>
  <si>
    <t xml:space="preserve">NURSE-12H, NURSE-24H, NURS-VISIT</t>
  </si>
  <si>
    <t xml:space="preserve">NURS-IVINF</t>
  </si>
  <si>
    <t xml:space="preserve">IV Cannula Insertion &amp; Infusion Administration</t>
  </si>
  <si>
    <t xml:space="preserve">NURS-PICCL</t>
  </si>
  <si>
    <t xml:space="preserve">PICC Line / Central Line Dressing &amp; Heparin Flush</t>
  </si>
  <si>
    <t xml:space="preserve">NURS-RYLE</t>
  </si>
  <si>
    <t xml:space="preserve">Nasogastric (Ryle's) Tube Insertion &amp; Care</t>
  </si>
  <si>
    <t xml:space="preserve">NURS-STOMA</t>
  </si>
  <si>
    <t xml:space="preserve">Colostomy / Stoma Bag Care &amp; Training</t>
  </si>
  <si>
    <t xml:space="preserve">NURS-TRACH</t>
  </si>
  <si>
    <t xml:space="preserve">Tracheostomy Care &amp; Tube Suctioning</t>
  </si>
  <si>
    <t xml:space="preserve">NURS-VISIT</t>
  </si>
  <si>
    <t xml:space="preserve">Nurse Short Procedure Home Visit (&lt; 1 hr)</t>
  </si>
  <si>
    <t xml:space="preserve">NURSE-12H</t>
  </si>
  <si>
    <t xml:space="preserve">Nurse, 12-hour shift</t>
  </si>
  <si>
    <t xml:space="preserve">Qualified Nurse (12-Hour Shift: Day or Night)</t>
  </si>
  <si>
    <t xml:space="preserve">NURSE-24H</t>
  </si>
  <si>
    <t xml:space="preserve">Qualified Nurse (24-Hour Residential Care)</t>
  </si>
  <si>
    <t xml:space="preserve">NURSE-ICU12</t>
  </si>
  <si>
    <t xml:space="preserve">Critical Care / ICU-Trained Nurse (12-Hour)</t>
  </si>
  <si>
    <t xml:space="preserve">NURSE-ICU24</t>
  </si>
  <si>
    <t xml:space="preserve">Critical Care / ICU-Trained Nurse (24-Hour)</t>
  </si>
  <si>
    <t xml:space="preserve">PHYSIO-GEN</t>
  </si>
  <si>
    <t xml:space="preserve">General Physiotherapy Session (Mobility/Gait)</t>
  </si>
  <si>
    <t xml:space="preserve">physio</t>
  </si>
  <si>
    <t xml:space="preserve">No service yet. Category notes (physio) would apply after import.</t>
  </si>
  <si>
    <t xml:space="preserve">PHYSIO-HOME</t>
  </si>
  <si>
    <t xml:space="preserve">Physiotherapy at home</t>
  </si>
  <si>
    <t xml:space="preserve">Category notes only (physio). No service-specific notes.</t>
  </si>
  <si>
    <t xml:space="preserve">PHYSIO-GEN, PHYSIO-NEU, PHYSIO-ORT, PHYSIO-RES</t>
  </si>
  <si>
    <t xml:space="preserve">PHYSIO-NEU</t>
  </si>
  <si>
    <t xml:space="preserve">Neuro-Physiotherapy (Stroke / Paralysis Rehab)</t>
  </si>
  <si>
    <t xml:space="preserve">PHYSIO-ORT</t>
  </si>
  <si>
    <t xml:space="preserve">Orthopedic / Post-Surgical Rehab Session</t>
  </si>
  <si>
    <t xml:space="preserve">PHYSIO-RES</t>
  </si>
  <si>
    <t xml:space="preserve">Cardio-Pulmonary / Chest Physiotherapy</t>
  </si>
  <si>
    <t xml:space="preserve">SPEECH-TH</t>
  </si>
  <si>
    <t xml:space="preserve">Speech &amp; Swallowing Therapy Session</t>
  </si>
  <si>
    <t xml:space="preserve">VISIT-STD</t>
  </si>
  <si>
    <t xml:space="preserve">Home visit charge</t>
  </si>
  <si>
    <t xml:space="preserve">Home Assessment &amp; Care Coordinator Visit</t>
  </si>
  <si>
    <t xml:space="preserve">visit</t>
  </si>
  <si>
    <t xml:space="preserve">Rate card "unit" vs draft "visit". The importer refuses the row until one wording is chosen.</t>
  </si>
  <si>
    <t xml:space="preserve">Category notes only (visit). No service-specific notes.</t>
  </si>
  <si>
    <t xml:space="preserve">Unit, No B2B, GST basis, Knowledge, Meaning differs</t>
  </si>
  <si>
    <t xml:space="preserve">VISIT-URG</t>
  </si>
  <si>
    <t xml:space="preserve">Urgent visit surcharge (within ~2 hrs)</t>
  </si>
  <si>
    <t xml:space="preserve">Urgent Express Surcharge (Arrival within 2 hrs)</t>
  </si>
  <si>
    <t xml:space="preserve">XR-ADDITIONAL</t>
  </si>
  <si>
    <t xml:space="preserve">Additional X-ray Shot - Same Visit/Same Address</t>
  </si>
  <si>
    <t xml:space="preserve">xray</t>
  </si>
  <si>
    <t xml:space="preserve">1 Additional X-ray Shoot</t>
  </si>
  <si>
    <t xml:space="preserve">Free-text unit "1 Additional X-ray Shoot". Confirm the intended unit wording; buying rates are stored against this exact text.</t>
  </si>
  <si>
    <t xml:space="preserve">Price written by migration 20261016130000 (description cites a Hinduja patient price). No in-app approval record or named approver in the repo.</t>
  </si>
  <si>
    <t xml:space="preserve">No buying rate. The 70% rule can derive one at import from the selling price.</t>
  </si>
  <si>
    <t xml:space="preserve">Category notes only (xray). No service-specific notes.</t>
  </si>
  <si>
    <t xml:space="preserve">XR-CHEST</t>
  </si>
  <si>
    <t xml:space="preserve">Portable X-ray · Chest PA</t>
  </si>
  <si>
    <t xml:space="preserve">Portable X-Ray: Chest AP / PA</t>
  </si>
  <si>
    <t xml:space="preserve">XR-HOME</t>
  </si>
  <si>
    <t xml:space="preserve">Unit, No B2B, GST basis, Knowledge, Possible overlap</t>
  </si>
  <si>
    <t xml:space="preserve">X-ray at Home</t>
  </si>
  <si>
    <t xml:space="preserve">First Shot</t>
  </si>
  <si>
    <t xml:space="preserve">Free-text unit "First Shot". Confirm the intended unit wording; buying rates are stored against this exact text.</t>
  </si>
  <si>
    <t xml:space="preserve">XR-CHEST, XR-LIMB, XR-PELV, XR-SPINE</t>
  </si>
  <si>
    <t xml:space="preserve">XR-LIMB</t>
  </si>
  <si>
    <t xml:space="preserve">Portable X-ray · Limb / Joint</t>
  </si>
  <si>
    <t xml:space="preserve">Portable X-Ray: Upper / Lower Extremity</t>
  </si>
  <si>
    <t xml:space="preserve">XR-PELV</t>
  </si>
  <si>
    <t xml:space="preserve">Portable X-Ray: Pelvis / Hip Joint</t>
  </si>
  <si>
    <t xml:space="preserve">New item uses "test"; existing xray services use "unit". Align the wording before import.</t>
  </si>
  <si>
    <t xml:space="preserve">No service yet. Category notes (xray) would apply after import.</t>
  </si>
  <si>
    <t xml:space="preserve">XR-PRINT</t>
  </si>
  <si>
    <t xml:space="preserve">Additional Printed X-ray Film</t>
  </si>
  <si>
    <t xml:space="preserve">additional X-ray Print</t>
  </si>
  <si>
    <t xml:space="preserve">Free-text unit "additional X-ray Print". Confirm the intended unit wording; buying rates are stored against this exact text.</t>
  </si>
  <si>
    <t xml:space="preserve">XR-SPINE</t>
  </si>
  <si>
    <t xml:space="preserve">Portable X-Ray: Spine (Cervical / Lumbar)</t>
  </si>
  <si>
    <t xml:space="preserve">Exact inputs still needed</t>
  </si>
  <si>
    <t xml:space="preserve">#</t>
  </si>
  <si>
    <t xml:space="preserve">Input</t>
  </si>
  <si>
    <t xml:space="preserve">Why it blocks</t>
  </si>
  <si>
    <t xml:space="preserve">Owner</t>
  </si>
  <si>
    <t xml:space="preserve">Where it is entered</t>
  </si>
  <si>
    <t xml:space="preserve">The approved final service and price list (B2C), as a file</t>
  </si>
  <si>
    <t xml:space="preserve">Without it no row can be reconciled against an approved value, and nothing can be submitted. The only file in the repo is a planning draft generated by scripts/generate_excel_matrix.mjs with "baseline" prices.</t>
  </si>
  <si>
    <t xml:space="preserve">Hinduja management / SecondMedic ops</t>
  </si>
  <si>
    <t xml:space="preserve">Settings &gt; Rate card &gt; Import rates</t>
  </si>
  <si>
    <t xml:space="preserve">Read access to the live CareDesk database (Supabase ref eilshdpbnhcohroujaui) or a supervisor export of Settings &gt; Rate card</t>
  </si>
  <si>
    <t xml:space="preserve">The connected Supabase account cannot see this project ("You do not have permission"). Any imports or approvals made in the app since the migrations are not visible here.</t>
  </si>
  <si>
    <t xml:space="preserve">SecondMedic platform admin</t>
  </si>
  <si>
    <t xml:space="preserve">Supabase connector, or Rate card export</t>
  </si>
  <si>
    <t xml:space="preserve">GST basis for the B2C column and for the B2B column (incl_gst / excl_gst / no_gst)</t>
  </si>
  <si>
    <t xml:space="preserve">The importer never assumes it; margins are withheld when bases differ or are unset. The draft gives rates (Exempt, 12%, 18%), not whether prices include GST.</t>
  </si>
  <si>
    <t xml:space="preserve">SecondMedic finance</t>
  </si>
  <si>
    <t xml:space="preserve">Import rates: GST basis selectors</t>
  </si>
  <si>
    <t xml:space="preserve">Effective date for the import</t>
  </si>
  <si>
    <t xml:space="preserve">No source has one. Back-dated rates only warn; booked lines keep their snapshot cost.</t>
  </si>
  <si>
    <t xml:space="preserve">SecondMedic ops</t>
  </si>
  <si>
    <t xml:space="preserve">Import rates: effective date</t>
  </si>
  <si>
    <t xml:space="preserve">Unit decisions (see Unit decisions sheet): 24 h vs shift, 12 hours vs shift, test vs unit, pack sizes, monthly rental</t>
  </si>
  <si>
    <t xml:space="preserve">The importer refuses unit mismatches and never converts. Open question already listed in docs/RATES-AND-MARGINS.md.</t>
  </si>
  <si>
    <t xml:space="preserve">SecondMedic ops with BMM</t>
  </si>
  <si>
    <t xml:space="preserve">Before the import file is built</t>
  </si>
  <si>
    <t xml:space="preserve">Approved provider-specific buying rates, if any differ from 70%</t>
  </si>
  <si>
    <t xml:space="preserve">94 of 95 draft B2B values are not 70% of B2C. Without approval they cannot be used; leaving B2B blank lets the 70% rule apply.</t>
  </si>
  <si>
    <t xml:space="preserve">SecondMedic commercial</t>
  </si>
  <si>
    <t xml:space="preserve">Rate card &gt; Buying rates, or B2B column</t>
  </si>
  <si>
    <t xml:space="preserve">Decision on generic vs specific codes (BED-HOSP, NURS-HOME, PHYSIO-HOME, ELDER-CARE, OXY-CONC, OXY-CYL, VENT-HOME vs BIPAP-AUTO, XR-HOME vs XR-CHEST / XR-LIMB)</t>
  </si>
  <si>
    <t xml:space="preserve">Keeping both gives agents two prices for one need.</t>
  </si>
  <si>
    <t xml:space="preserve">Hinduja management</t>
  </si>
  <si>
    <t xml:space="preserve">Rate card (deactivate) after decision</t>
  </si>
  <si>
    <t xml:space="preserve">Approval evidence for the 15 prices already on the rate card</t>
  </si>
  <si>
    <t xml:space="preserve">They were written by migrations with an automatic approved_at and no approver. Confirm on the live Approvals page or by written Hinduja confirmation.</t>
  </si>
  <si>
    <t xml:space="preserve">Approvals history</t>
  </si>
  <si>
    <t xml:space="preserve">Approved service-specific product notes (summary, questions, inclusions, exclusions, preparation, FAQs)</t>
  </si>
  <si>
    <t xml:space="preserve">None exist. Clinical content cannot be written from nothing.</t>
  </si>
  <si>
    <t xml:space="preserve">Hinduja clinical + BMM / SecondMedic service owners</t>
  </si>
  <si>
    <t xml:space="preserve">Product knowledge &gt; Import</t>
  </si>
  <si>
    <t xml:space="preserve">Named approver and date for scripts S-01 to S-09 and the 12 category notes</t>
  </si>
  <si>
    <t xml:space="preserve">Scripts were marked approved by migration (approved_by empty); the category notes migration says "Hinduja to review".</t>
  </si>
  <si>
    <t xml:space="preserve">Hinduja management / clinical</t>
  </si>
  <si>
    <t xml:space="preserve">Templates approval</t>
  </si>
  <si>
    <t xml:space="preserve">Agent roster and the operations owner for training sign-off</t>
  </si>
  <si>
    <t xml:space="preserve">Needed to fill the attendance and competency record.</t>
  </si>
  <si>
    <t xml:space="preserve">Training workbook</t>
  </si>
  <si>
    <t xml:space="preserve">Unit decisions needed before import</t>
  </si>
  <si>
    <t xml:space="preserve">Yellow cells are for the business owner. Nothing here is converted automatically.</t>
  </si>
  <si>
    <t xml:space="preserve">Question</t>
  </si>
  <si>
    <t xml:space="preserve">Decision</t>
  </si>
  <si>
    <t xml:space="preserve">Decided by</t>
  </si>
  <si>
    <t xml:space="preserve">Date</t>
  </si>
  <si>
    <t xml:space="preserve">ALL RENTALS</t>
  </si>
  <si>
    <t xml:space="preserve">Is a monthly rental tariff needed for beds and equipment? If yes, it is a separate unit ("month") with its own approved price, never 30 x the day rate.</t>
  </si>
  <si>
    <t xml:space="preserve">NURSING / ATTENDANT</t>
  </si>
  <si>
    <t xml:space="preserve">Do "12 hours" and "24 hours" replace or sit beside the existing shift services (open question in docs/RATES-AND-MARGINS.md)?</t>
  </si>
  <si>
    <t xml:space="preserve">Draft values for business confirmation (not approved, not for import as they stand)</t>
  </si>
  <si>
    <t xml:space="preserve">Source: docs/HHCS_CRM_Feature_Matrix_and_Catalogue.xlsx, sheet "85 Services Catalogue", generated by scripts/generate_excel_matrix.mjs (commit 8f6b2b1). Use this only if the business confirms it is the price list; otherwise replace with the approved file.</t>
  </si>
  <si>
    <t xml:space="preserve">Name</t>
  </si>
  <si>
    <t xml:space="preserve">Unit</t>
  </si>
  <si>
    <t xml:space="preserve">Draft B2C (Rs)</t>
  </si>
  <si>
    <t xml:space="preserve">Draft B2B (Rs)</t>
  </si>
  <si>
    <t xml:space="preserve">On CRM</t>
  </si>
  <si>
    <t xml:space="preserve">Confirmed B2C (Rs)</t>
  </si>
  <si>
    <t xml:space="preserve">Keep draft B2B or use 70%?</t>
  </si>
  <si>
    <t xml:space="preserve">Approver</t>
  </si>
  <si>
    <t xml:space="preserve">Product knowledge coverage</t>
  </si>
  <si>
    <t xml:space="preserve">Target</t>
  </si>
  <si>
    <t xml:space="preserve">Summary</t>
  </si>
  <si>
    <t xml:space="preserve">Who needs it</t>
  </si>
  <si>
    <t xml:space="preserve">Ask the caller</t>
  </si>
  <si>
    <t xml:space="preserve">Includes</t>
  </si>
  <si>
    <t xml:space="preserve">Excludes</t>
  </si>
  <si>
    <t xml:space="preserve">Preparation</t>
  </si>
  <si>
    <t xml:space="preserve">FAQ</t>
  </si>
  <si>
    <t xml:space="preserve">Category: beds</t>
  </si>
  <si>
    <t xml:space="preserve">Yes</t>
  </si>
  <si>
    <t xml:space="preserve">Seeded by migration 20261016110000 with the note "no clinical advice; Hinduja to review". Awaiting Hinduja review.</t>
  </si>
  <si>
    <t xml:space="preserve">Category: consumables</t>
  </si>
  <si>
    <t xml:space="preserve">Category: ecg</t>
  </si>
  <si>
    <t xml:space="preserve">Category: eldercare</t>
  </si>
  <si>
    <t xml:space="preserve">Category: equipment</t>
  </si>
  <si>
    <t xml:space="preserve">Category: homecare</t>
  </si>
  <si>
    <t xml:space="preserve">Category: icu</t>
  </si>
  <si>
    <t xml:space="preserve">Category: lab</t>
  </si>
  <si>
    <t xml:space="preserve">Category: nursing</t>
  </si>
  <si>
    <t xml:space="preserve">Category: physio</t>
  </si>
  <si>
    <t xml:space="preserve">Category: visit</t>
  </si>
  <si>
    <t xml:space="preserve">Category: xray</t>
  </si>
  <si>
    <t xml:space="preserve">Service-specific rows</t>
  </si>
  <si>
    <t xml:space="preserve">No service has its own notes. Every service shows "General notes for &lt;category&gt;".</t>
  </si>
  <si>
    <t xml:space="preserve">Category "other"</t>
  </si>
  <si>
    <t xml:space="preserve">No</t>
  </si>
  <si>
    <t xml:space="preserve">No default; no service uses it today, but the 70% import routes "other" (e.g. ambulance) to BMM, so a new service there would show "No product knowledge yet".</t>
  </si>
  <si>
    <t xml:space="preserve">Call scripts reviewed against dispositions and the rate card</t>
  </si>
  <si>
    <t xml:space="preserve">Title</t>
  </si>
  <si>
    <t xml:space="preserve">Stage</t>
  </si>
  <si>
    <t xml:space="preserve">Ends with</t>
  </si>
  <si>
    <t xml:space="preserve">Finding</t>
  </si>
  <si>
    <t xml:space="preserve">Proposed change</t>
  </si>
  <si>
    <t xml:space="preserve">Needs approval from</t>
  </si>
  <si>
    <t xml:space="preserve">S-01</t>
  </si>
  <si>
    <t xml:space="preserve">Inbound greeting &amp; consent</t>
  </si>
  <si>
    <t xml:space="preserve">Opening</t>
  </si>
  <si>
    <t xml:space="preserve">Intake disposition</t>
  </si>
  <si>
    <t xml:space="preserve">Consent step and S-09 hand-off are sound. Step 7 promises a quote on WhatsApp "shortly", but 25 BMM services are not priced and are quoted after assessment.</t>
  </si>
  <si>
    <t xml:space="preserve">Step 7: "You will receive the quote on WhatsApp. For nursing, equipment and beds the quote follows the home assessment."</t>
  </si>
  <si>
    <t xml:space="preserve">S-02</t>
  </si>
  <si>
    <t xml:space="preserve">Home Assessment &amp; Pricing Explanation</t>
  </si>
  <si>
    <t xml:space="preserve">Opening / pricing</t>
  </si>
  <si>
    <t xml:space="preserve">Assessment booked</t>
  </si>
  <si>
    <t xml:space="preserve">Hard-codes "Hinduja Home Care" where S-01 uses {{brand}}. States the nurse is "Hinduja-certified": a claim to confirm.</t>
  </si>
  <si>
    <t xml:space="preserve">Use {{brand}}; confirm or remove "Hinduja-certified".</t>
  </si>
  <si>
    <t xml:space="preserve">S-03</t>
  </si>
  <si>
    <t xml:space="preserve">Callback opening (missed call)</t>
  </si>
  <si>
    <t xml:space="preserve">Opening / follow-up</t>
  </si>
  <si>
    <t xml:space="preserve">Callback outcome</t>
  </si>
  <si>
    <t xml:space="preserve">Step 3 says close as "Not reached". That outcome does not exist: outcomes are Resolved, Follow-up needed, Wrong number, No longer needed, and a connected call is never unreachable (migration 20261015180000).</t>
  </si>
  <si>
    <t xml:space="preserve">Step 3: "If wrong person: apologise, confirm the number and close the callback with the outcome Wrong number."</t>
  </si>
  <si>
    <t xml:space="preserve">S-04</t>
  </si>
  <si>
    <t xml:space="preserve">Discharge home-care requirement capture</t>
  </si>
  <si>
    <t xml:space="preserve">Requirement capture</t>
  </si>
  <si>
    <t xml:space="preserve">Intake disposition (step 8)</t>
  </si>
  <si>
    <t xml:space="preserve">Matches the intake form and the 8 dispositions. Mentions 24 h needs, but no 24 h service is on the rate card.</t>
  </si>
  <si>
    <t xml:space="preserve">None until the unit decision on 24 h is made.</t>
  </si>
  <si>
    <t xml:space="preserve">n/a</t>
  </si>
  <si>
    <t xml:space="preserve">S-05</t>
  </si>
  <si>
    <t xml:space="preserve">Diagnostics at home (tests, X-ray, ECG)</t>
  </si>
  <si>
    <t xml:space="preserve">Requirement capture / pricing</t>
  </si>
  <si>
    <t xml:space="preserve">Tells agents to read the price from the Product knowledge panel. XR-HOME (Rs 2,000 first shot) and XR-CHEST (Rs 2,200) both fit "chest X-ray at home": two prices.</t>
  </si>
  <si>
    <t xml:space="preserve">After the overlap decision, name the code to quote for each X-ray request.</t>
  </si>
  <si>
    <t xml:space="preserve">S-06</t>
  </si>
  <si>
    <t xml:space="preserve">Price and budget conversation</t>
  </si>
  <si>
    <t xml:space="preserve">Pricing</t>
  </si>
  <si>
    <t xml:space="preserve">Discount approval if any</t>
  </si>
  <si>
    <t xml:space="preserve">Offers "12 h instead of 24 h" and "semi-Fowler instead of motorised bed". None of these are priced in the CRM (24 h and semi-Fowler do not exist; BED-ICU is Rs 0).</t>
  </si>
  <si>
    <t xml:space="preserve">Keep; usable only after the price list is approved and imported.</t>
  </si>
  <si>
    <t xml:space="preserve">S-07</t>
  </si>
  <si>
    <t xml:space="preserve">Closing and next steps</t>
  </si>
  <si>
    <t xml:space="preserve">Closure</t>
  </si>
  <si>
    <t xml:space="preserve">Disposition</t>
  </si>
  <si>
    <t xml:space="preserve">Sound.</t>
  </si>
  <si>
    <t xml:space="preserve">None.</t>
  </si>
  <si>
    <t xml:space="preserve">S-09</t>
  </si>
  <si>
    <t xml:space="preserve">Emergency at home</t>
  </si>
  <si>
    <t xml:space="preserve">Escalation</t>
  </si>
  <si>
    <t xml:space="preserve">Emergency escalation</t>
  </si>
  <si>
    <t xml:space="preserve">Clinical safety content.</t>
  </si>
  <si>
    <t xml:space="preserve">None; record Hinduja clinical sign-off.</t>
  </si>
  <si>
    <t xml:space="preserve">Hinduja clinical</t>
  </si>
  <si>
    <t xml:space="preserve">(none)</t>
  </si>
  <si>
    <t xml:space="preserve">Quote follow-up</t>
  </si>
  <si>
    <t xml:space="preserve">Follow-up</t>
  </si>
  <si>
    <t xml:space="preserve">Follow-up requested / callback outcome</t>
  </si>
  <si>
    <t xml:space="preserve">No script covers calling back a family who received a quote or asked for time (disposition "Follow-up requested", callback outcome "Follow-up needed"). S-08 is unused.</t>
  </si>
  <si>
    <t xml:space="preserve">Proposed S-08 draft text is on the "Proposed S-08" sheet. Not loaded.</t>
  </si>
  <si>
    <t xml:space="preserve">Approval evidence: every script row is status "approved" with approved_at set by migration and approved_by empty. No named approver or date is recorded.</t>
  </si>
  <si>
    <t xml:space="preserve">Dispositions: the Knowledge page guide (src/pages/Knowledge.jsx) lists the same 8 intake values as the database check (requirement_captured ... duplicate). Callback outcomes are a separate list of 4.</t>
  </si>
  <si>
    <t xml:space="preserve">Proposed S-08: Quote follow-up (draft, awaiting approval, not loaded)</t>
  </si>
  <si>
    <t xml:space="preserve">Good {{greeting_time}}, this is {{agent_name}} from {{brand}}, calling about the quote for {{patient_name}}, reference {{case_no}}. Is this a good time?</t>
  </si>
  <si>
    <t xml:space="preserve">1. If not a good time: agree a time and log it as Follow-up needed.</t>
  </si>
  <si>
    <t xml:space="preserve">2. Ask whether the family has gone through the quote and has questions. Answer only from the quote and the Product knowledge panel.</t>
  </si>
  <si>
    <t xml:space="preserve">3. If price is the concern, follow S-06. Never promise a discount.</t>
  </si>
  <si>
    <t xml:space="preserve">4. If they want to go ahead: confirm the agreed list with the decision maker and the start date, then follow S-07.</t>
  </si>
  <si>
    <t xml:space="preserve">5. If they have arranged care elsewhere or no longer need it: thank them and close with the matching outcome (No longer needed) and reason.</t>
  </si>
  <si>
    <t xml:space="preserve">6. Set the disposition or callback outcome before closing the case screen.</t>
  </si>
  <si>
    <t xml:space="preserve">Content awaiting business or clinical approval</t>
  </si>
  <si>
    <t xml:space="preserve">Count</t>
  </si>
  <si>
    <t xml:space="preserve">Final B2C price list (whole catalogue)</t>
  </si>
  <si>
    <t xml:space="preserve">1 file</t>
  </si>
  <si>
    <t xml:space="preserve">Hinduja management (in-app rate_import approval)</t>
  </si>
  <si>
    <t xml:space="preserve">Not received</t>
  </si>
  <si>
    <t xml:space="preserve">Services on the rate card at Rs 0</t>
  </si>
  <si>
    <t xml:space="preserve">Not priced</t>
  </si>
  <si>
    <t xml:space="preserve">Prices already on the rate card without a recorded approver</t>
  </si>
  <si>
    <t xml:space="preserve">Confirm on live Approvals</t>
  </si>
  <si>
    <t xml:space="preserve">Provider exceptions to the 70% buying rule</t>
  </si>
  <si>
    <t xml:space="preserve">None approved</t>
  </si>
  <si>
    <t xml:space="preserve">Generic vs specific code overlaps</t>
  </si>
  <si>
    <t xml:space="preserve">Decision needed</t>
  </si>
  <si>
    <t xml:space="preserve">Unit decisions</t>
  </si>
  <si>
    <t xml:space="preserve">Category knowledge notes</t>
  </si>
  <si>
    <t xml:space="preserve">Hinduja clinical (lab, X-ray, ECG, ICU, nursing); Hinduja management (includes / excludes)</t>
  </si>
  <si>
    <t xml:space="preserve">Seeded, "Hinduja to review"</t>
  </si>
  <si>
    <t xml:space="preserve">Service-specific knowledge notes</t>
  </si>
  <si>
    <t xml:space="preserve">Hinduja clinical + service owners</t>
  </si>
  <si>
    <t xml:space="preserve">Not written</t>
  </si>
  <si>
    <t xml:space="preserve">Call scripts with no named approver</t>
  </si>
  <si>
    <t xml:space="preserve">Hinduja management; S-09 Hinduja clinical</t>
  </si>
  <si>
    <t xml:space="preserve">Marked approved by migration only</t>
  </si>
  <si>
    <t xml:space="preserve">Script corrections (S-01, S-02, S-03, S-05) and new S-08</t>
  </si>
  <si>
    <t xml:space="preserve">Proposed</t>
  </si>
  <si>
    <t xml:space="preserve">Hinduja management access to margins</t>
  </si>
  <si>
    <t xml:space="preserve">1 decision</t>
  </si>
  <si>
    <t xml:space="preserve">SecondMedic + Hinduja</t>
  </si>
  <si>
    <t xml:space="preserve">Open (docs/RATES-AND-MARGINS.md)</t>
  </si>
  <si>
    <t xml:space="preserve">Verification evidence (16 Oct 2026, repo HEAD 36f2df2)</t>
  </si>
  <si>
    <t xml:space="preserve">Check</t>
  </si>
  <si>
    <t xml:space="preserve">How</t>
  </si>
  <si>
    <t xml:space="preserve">Result</t>
  </si>
  <si>
    <t xml:space="preserve">Live database access</t>
  </si>
  <si>
    <t xml:space="preserve">Supabase connector: execute_sql on project eilshdpbnhcohroujaui</t>
  </si>
  <si>
    <t xml:space="preserve">Refused: "You do not have permission to perform this action". The connected account lists only secondmedic-crm and staff-portal.</t>
  </si>
  <si>
    <t xml:space="preserve">Catalogue end state</t>
  </si>
  <si>
    <t xml:space="preserve">All 44 migrations applied in order to an in-memory PGlite database; services, providers, provider_rates, service_price_history, rate_imports, service_knowledge, templates read</t>
  </si>
  <si>
    <t xml:space="preserve">40 services (15 priced, 25 at Rs 0), 0 buying rates, 0 imports, tax_basis empty on all, 12 category notes, 0 service notes, 9 scripts.</t>
  </si>
  <si>
    <t xml:space="preserve">Rates, import, margins, cost confidentiality (SQL, per role)</t>
  </si>
  <si>
    <t xml:space="preserve">npx vitest run test/rates.test.mjs test/product-knowledge.test.mjs test/provider-fulfilment.test.mjs</t>
  </si>
  <si>
    <t xml:space="preserve">Passed (3 files). Covers: agent, coordinator, client_manager, client_clinical, field staff, medical desk, provider and admin refused case_margins / margin_report; 0 provider_rates rows visible to agent, field, client, clinical, medical, provider; no buying rate in audit_log, timeline, patient quote text or Hinduja MIS pack; administrator sees margins.</t>
  </si>
  <si>
    <t xml:space="preserve">Same rules through the Worker API</t>
  </si>
  <si>
    <t xml:space="preserve">npm run rehearse (includes rates.itest.mjs)</t>
  </si>
  <si>
    <t xml:space="preserve">Passed: 357 API checks. Covers 403 on rate import, margin report, provider_rates / rate_imports / case_item_costs reads, direct writes, margins inside an agent batch; case lines read by an agent contain no buy / margin fields.</t>
  </si>
  <si>
    <t xml:space="preserve">BMM partner API (bmm_leads)</t>
  </si>
  <si>
    <t xml:space="preserve">Read migration 20261015170200_bmm_release_scope.sql</t>
  </si>
  <si>
    <t xml:space="preserve">Returns service code, name, category, quantity, unit only. case_item_costs is joined for routing (provider_id), no rate or amount is emitted. Not covered by a test.</t>
  </si>
  <si>
    <t xml:space="preserve">Partner Excel export (Leads page)</t>
  </si>
  <si>
    <t xml:space="preserve">Read src/pages/Leads.jsx download()</t>
  </si>
  <si>
    <t xml:space="preserve">Columns: case, provider, patient, services, hospital, discharge, status, visit, note. No money. Not covered by a test.</t>
  </si>
  <si>
    <t xml:space="preserve">Hinduja rate approval payload</t>
  </si>
  <si>
    <t xml:space="preserve">Read submit_rate_import in 20261015140000_rate_import_derived_buying.sql</t>
  </si>
  <si>
    <t xml:space="preserve">Carries selling prices, tax basis, dates and the file name only. The file name is shown to Hinduja: name import files without "buying" or provider rates.</t>
  </si>
  <si>
    <t xml:space="preserve">Quotation PDF</t>
  </si>
  <si>
    <t xml:space="preserve">Read src/lib/pdf.js columns</t>
  </si>
  <si>
    <t xml:space="preserve">Unit, qty, rate (selling), total. No cost fields.</t>
  </si>
  <si>
    <t xml:space="preserve">Product knowledge shows Rs 0</t>
  </si>
  <si>
    <t xml:space="preserve">Read src/components/ProductKnowledge.jsx and src/pages/Knowledge.jsx</t>
  </si>
  <si>
    <t xml:space="preserve">Defect: unpriced services render "Rs 0.00 / day" to agents (Console picker correctly says "quote required"). Patch proposed: product-knowledge-unpriced.patch (lint passes and both files parse; the full vite build could not run here because the xlsx package host cdn.sheetjs.com is blocked from this workspace, so run npm run build before shipping).</t>
  </si>
  <si>
    <t xml:space="preserve">Repo unchanged</t>
  </si>
  <si>
    <t xml:space="preserve">git status after all runs</t>
  </si>
  <si>
    <t xml:space="preserve">Clean. Nothing committed, pushed, imported or activated.</t>
  </si>
</sst>
</file>

<file path=xl/styles.xml><?xml version="1.0" encoding="utf-8"?>
<styleSheet xmlns="http://schemas.openxmlformats.org/spreadsheetml/2006/main">
  <numFmts count="3">
    <numFmt numFmtId="164" formatCode="General"/>
    <numFmt numFmtId="165" formatCode="0%"/>
    <numFmt numFmtId="166" formatCode="#,##0.00;\(#,##0.00\);\-"/>
  </numFmts>
  <fonts count="1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1"/>
      <color theme="1"/>
      <name val="Arial"/>
      <family val="0"/>
      <charset val="1"/>
    </font>
    <font>
      <b val="true"/>
      <sz val="10"/>
      <name val="Arial"/>
      <family val="0"/>
      <charset val="1"/>
    </font>
    <font>
      <sz val="10"/>
      <name val="Arial"/>
      <family val="0"/>
      <charset val="1"/>
    </font>
    <font>
      <b val="true"/>
      <sz val="10"/>
      <color rgb="FFFFFFFF"/>
      <name val="Arial"/>
      <family val="0"/>
      <charset val="1"/>
    </font>
    <font>
      <sz val="10"/>
      <color rgb="FF0000FF"/>
      <name val="Arial"/>
      <family val="0"/>
      <charset val="1"/>
    </font>
  </fonts>
  <fills count="5">
    <fill>
      <patternFill patternType="none"/>
    </fill>
    <fill>
      <patternFill patternType="gray125"/>
    </fill>
    <fill>
      <patternFill patternType="solid">
        <fgColor rgb="FF1F3A5F"/>
        <bgColor rgb="FF333333"/>
      </patternFill>
    </fill>
    <fill>
      <patternFill patternType="solid">
        <fgColor rgb="FFFFFF00"/>
        <bgColor rgb="FFFFFF00"/>
      </patternFill>
    </fill>
    <fill>
      <patternFill patternType="solid">
        <fgColor rgb="FFFCE4D6"/>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5" fontId="9" fillId="0"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6" fontId="7" fillId="0" borderId="1" xfId="0" applyFont="true" applyBorder="true" applyAlignment="true" applyProtection="false">
      <alignment horizontal="general" vertical="top" textRotation="0" wrapText="true" indent="0" shrinkToFit="false"/>
      <protection locked="true" hidden="false"/>
    </xf>
    <xf numFmtId="166" fontId="7" fillId="3"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3A5F"/>
          <bgColor rgb="FF000000"/>
        </patternFill>
      </fill>
    </dxf>
    <dxf>
      <fill>
        <patternFill patternType="solid">
          <bgColor rgb="FF000000"/>
        </patternFill>
      </fill>
    </dxf>
    <dxf>
      <fill>
        <patternFill patternType="solid">
          <fgColor rgb="FFFFFFFF"/>
          <bgColor rgb="FF000000"/>
        </patternFill>
      </fill>
    </dxf>
    <dxf>
      <fill>
        <patternFill patternType="solid">
          <fgColor rgb="FFFCE4D6"/>
          <bgColor rgb="FF000000"/>
        </patternFill>
      </fill>
    </dxf>
    <dxf>
      <fill>
        <patternFill patternType="solid">
          <fgColor rgb="FFFFFF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CE4D6"/>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20"/>
  </cols>
  <sheetData>
    <row r="1" customFormat="false" ht="17.35" hidden="false" customHeight="false" outlineLevel="0" collapsed="false">
      <c r="A1" s="1" t="s">
        <v>0</v>
      </c>
      <c r="B1" s="2"/>
    </row>
    <row r="2" customFormat="false" ht="15" hidden="false" customHeight="false" outlineLevel="0" collapsed="false">
      <c r="A2" s="2"/>
      <c r="B2" s="2"/>
    </row>
    <row r="3" customFormat="false" ht="15" hidden="false" customHeight="false" outlineLevel="0" collapsed="false">
      <c r="A3" s="3" t="s">
        <v>1</v>
      </c>
      <c r="B3" s="4" t="s">
        <v>2</v>
      </c>
    </row>
    <row r="4" customFormat="false" ht="23.85" hidden="false" customHeight="false" outlineLevel="0" collapsed="false">
      <c r="A4" s="3" t="s">
        <v>3</v>
      </c>
      <c r="B4" s="4" t="s">
        <v>4</v>
      </c>
    </row>
    <row r="5" customFormat="false" ht="15" hidden="false" customHeight="false" outlineLevel="0" collapsed="false">
      <c r="A5" s="3" t="s">
        <v>5</v>
      </c>
      <c r="B5" s="4" t="s">
        <v>6</v>
      </c>
    </row>
    <row r="6" customFormat="false" ht="15" hidden="false" customHeight="false" outlineLevel="0" collapsed="false">
      <c r="A6" s="3" t="s">
        <v>7</v>
      </c>
      <c r="B6" s="4" t="s">
        <v>8</v>
      </c>
    </row>
    <row r="7" customFormat="false" ht="23.85" hidden="false" customHeight="false" outlineLevel="0" collapsed="false">
      <c r="A7" s="3" t="s">
        <v>9</v>
      </c>
      <c r="B7" s="4" t="s">
        <v>10</v>
      </c>
    </row>
    <row r="8" customFormat="false" ht="23.85" hidden="false" customHeight="false" outlineLevel="0" collapsed="false">
      <c r="A8" s="3" t="s">
        <v>11</v>
      </c>
      <c r="B8" s="4" t="s">
        <v>12</v>
      </c>
    </row>
    <row r="9" customFormat="false" ht="15" hidden="false" customHeight="false" outlineLevel="0" collapsed="false">
      <c r="A9" s="3" t="s">
        <v>13</v>
      </c>
      <c r="B9" s="4"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22"/>
    <col collapsed="false" customWidth="true" hidden="false" outlineLevel="0" max="4" min="3" style="0" width="20"/>
    <col collapsed="false" customWidth="true" hidden="false" outlineLevel="0" max="5" min="5" style="0" width="80"/>
  </cols>
  <sheetData>
    <row r="1" customFormat="false" ht="17.35" hidden="false" customHeight="false" outlineLevel="0" collapsed="false">
      <c r="A1" s="1" t="s">
        <v>15</v>
      </c>
      <c r="B1" s="2"/>
      <c r="C1" s="2"/>
      <c r="D1" s="2"/>
      <c r="E1" s="2"/>
    </row>
    <row r="2" customFormat="false" ht="15" hidden="false" customHeight="false" outlineLevel="0" collapsed="false">
      <c r="A2" s="5" t="s">
        <v>16</v>
      </c>
      <c r="B2" s="2"/>
      <c r="C2" s="2"/>
      <c r="D2" s="2"/>
      <c r="E2" s="2"/>
    </row>
    <row r="3" customFormat="false" ht="15" hidden="false" customHeight="false" outlineLevel="0" collapsed="false">
      <c r="A3" s="2"/>
      <c r="B3" s="2"/>
      <c r="C3" s="2"/>
      <c r="D3" s="2"/>
      <c r="E3" s="2"/>
    </row>
    <row r="4" customFormat="false" ht="23.85" hidden="false" customHeight="false" outlineLevel="0" collapsed="false">
      <c r="A4" s="6" t="s">
        <v>17</v>
      </c>
      <c r="B4" s="6" t="s">
        <v>18</v>
      </c>
      <c r="C4" s="6" t="s">
        <v>19</v>
      </c>
      <c r="D4" s="6" t="s">
        <v>20</v>
      </c>
      <c r="E4" s="6" t="s">
        <v>21</v>
      </c>
    </row>
    <row r="5" customFormat="false" ht="23.85" hidden="false" customHeight="false" outlineLevel="0" collapsed="false">
      <c r="A5" s="7" t="s">
        <v>22</v>
      </c>
      <c r="B5" s="7" t="s">
        <v>23</v>
      </c>
      <c r="C5" s="7" t="n">
        <f aca="false">COUNTIF(Reconciliation!$Y$6:$Y$110,"Y")</f>
        <v>40</v>
      </c>
      <c r="D5" s="7" t="n">
        <f aca="false">COUNTIF(Reconciliation!$Z$6:$Z$110,"Y")</f>
        <v>95</v>
      </c>
      <c r="E5" s="7" t="s">
        <v>24</v>
      </c>
    </row>
    <row r="6" customFormat="false" ht="15" hidden="false" customHeight="false" outlineLevel="0" collapsed="false">
      <c r="A6" s="7" t="s">
        <v>25</v>
      </c>
      <c r="B6" s="7" t="s">
        <v>23</v>
      </c>
      <c r="C6" s="7" t="n">
        <f aca="false">COUNTIFS(Reconciliation!$Y$6:$Y$110,"Y",Reconciliation!$Z$6:$Z$110,"Y")</f>
        <v>30</v>
      </c>
      <c r="D6" s="7" t="n">
        <f aca="false">COUNTIFS(Reconciliation!$Y$6:$Y$110,"Y",Reconciliation!$Z$6:$Z$110,"Y")</f>
        <v>30</v>
      </c>
      <c r="E6" s="7" t="s">
        <v>26</v>
      </c>
    </row>
    <row r="7" customFormat="false" ht="15" hidden="false" customHeight="false" outlineLevel="0" collapsed="false">
      <c r="A7" s="7" t="s">
        <v>27</v>
      </c>
      <c r="B7" s="7" t="s">
        <v>23</v>
      </c>
      <c r="C7" s="7"/>
      <c r="D7" s="7" t="n">
        <f aca="false">COUNTIFS(Reconciliation!$Z$6:$Z$110,"Y",Reconciliation!$Y$6:$Y$110,"N")</f>
        <v>65</v>
      </c>
      <c r="E7" s="7" t="s">
        <v>28</v>
      </c>
    </row>
    <row r="8" customFormat="false" ht="15" hidden="false" customHeight="false" outlineLevel="0" collapsed="false">
      <c r="A8" s="7" t="s">
        <v>29</v>
      </c>
      <c r="B8" s="7" t="s">
        <v>23</v>
      </c>
      <c r="C8" s="7" t="n">
        <f aca="false">COUNTIFS(Reconciliation!$Y$6:$Y$110,"Y",Reconciliation!$Z$6:$Z$110,"N")</f>
        <v>10</v>
      </c>
      <c r="D8" s="7"/>
      <c r="E8" s="7" t="s">
        <v>30</v>
      </c>
    </row>
    <row r="9" customFormat="false" ht="23.85" hidden="false" customHeight="false" outlineLevel="0" collapsed="false">
      <c r="A9" s="7" t="s">
        <v>31</v>
      </c>
      <c r="B9" s="7" t="s">
        <v>23</v>
      </c>
      <c r="C9" s="7" t="n">
        <f aca="false">SUMPRODUCT((COUNTIF(Reconciliation!$A$6:$A$110,Reconciliation!$A$6:$A$110)&gt;1)*(Reconciliation!$Y$6:$Y$110="Y"))</f>
        <v>0</v>
      </c>
      <c r="D9" s="7" t="s">
        <v>32</v>
      </c>
      <c r="E9" s="7" t="s">
        <v>33</v>
      </c>
    </row>
    <row r="10" customFormat="false" ht="23.85" hidden="false" customHeight="false" outlineLevel="0" collapsed="false">
      <c r="A10" s="7" t="s">
        <v>34</v>
      </c>
      <c r="B10" s="7" t="s">
        <v>23</v>
      </c>
      <c r="C10" s="7" t="n">
        <f aca="false">COUNTIFS(Reconciliation!$AG$6:$AG$110,1,Reconciliation!$Y$6:$Y$110,"Y")</f>
        <v>12</v>
      </c>
      <c r="D10" s="7" t="n">
        <f aca="false">COUNTIFS(Reconciliation!$AG$6:$AG$110,1,Reconciliation!$Z$6:$Z$110,"Y")</f>
        <v>21</v>
      </c>
      <c r="E10" s="7" t="s">
        <v>35</v>
      </c>
    </row>
    <row r="11" customFormat="false" ht="15" hidden="false" customHeight="false" outlineLevel="0" collapsed="false">
      <c r="A11" s="7" t="s">
        <v>36</v>
      </c>
      <c r="B11" s="7" t="s">
        <v>23</v>
      </c>
      <c r="C11" s="7" t="n">
        <f aca="false">COUNTIFS(Reconciliation!$W$6:$W$110,"Inactive",Reconciliation!$Y$6:$Y$110,"Y")</f>
        <v>0</v>
      </c>
      <c r="D11" s="7"/>
      <c r="E11" s="7" t="s">
        <v>37</v>
      </c>
    </row>
    <row r="12" customFormat="false" ht="23.85" hidden="false" customHeight="false" outlineLevel="0" collapsed="false">
      <c r="A12" s="7" t="s">
        <v>38</v>
      </c>
      <c r="B12" s="7" t="s">
        <v>23</v>
      </c>
      <c r="C12" s="7" t="s">
        <v>39</v>
      </c>
      <c r="D12" s="7"/>
      <c r="E12" s="7" t="s">
        <v>40</v>
      </c>
    </row>
    <row r="13" customFormat="false" ht="15" hidden="false" customHeight="false" outlineLevel="0" collapsed="false">
      <c r="A13" s="7" t="s">
        <v>41</v>
      </c>
      <c r="B13" s="7" t="s">
        <v>23</v>
      </c>
      <c r="C13" s="7" t="n">
        <f aca="false">COUNTIF(Reconciliation!$AH$6:$AH$110,1)</f>
        <v>25</v>
      </c>
      <c r="D13" s="7"/>
      <c r="E13" s="7" t="s">
        <v>42</v>
      </c>
    </row>
    <row r="14" customFormat="false" ht="15" hidden="false" customHeight="false" outlineLevel="0" collapsed="false">
      <c r="A14" s="7" t="s">
        <v>43</v>
      </c>
      <c r="B14" s="7" t="s">
        <v>23</v>
      </c>
      <c r="C14" s="7" t="n">
        <f aca="false">COUNTIF(Reconciliation!$AE$6:$AE$110,1)</f>
        <v>40</v>
      </c>
      <c r="D14" s="7"/>
      <c r="E14" s="7" t="s">
        <v>44</v>
      </c>
    </row>
    <row r="15" customFormat="false" ht="15" hidden="false" customHeight="false" outlineLevel="0" collapsed="false">
      <c r="A15" s="7" t="s">
        <v>45</v>
      </c>
      <c r="B15" s="7" t="s">
        <v>23</v>
      </c>
      <c r="C15" s="7" t="n">
        <f aca="false">COUNT(Reconciliation!$P$6:$P$110)</f>
        <v>15</v>
      </c>
      <c r="D15" s="7"/>
      <c r="E15" s="7" t="s">
        <v>46</v>
      </c>
    </row>
    <row r="16" customFormat="false" ht="15" hidden="false" customHeight="false" outlineLevel="0" collapsed="false">
      <c r="A16" s="7" t="s">
        <v>47</v>
      </c>
      <c r="B16" s="7" t="s">
        <v>23</v>
      </c>
      <c r="C16" s="7"/>
      <c r="D16" s="7" t="n">
        <f aca="false">COUNTIF(Reconciliation!$Q$6:$Q$110,"Differs*")</f>
        <v>94</v>
      </c>
      <c r="E16" s="7" t="s">
        <v>48</v>
      </c>
    </row>
    <row r="17" customFormat="false" ht="15" hidden="false" customHeight="false" outlineLevel="0" collapsed="false">
      <c r="A17" s="7" t="s">
        <v>49</v>
      </c>
      <c r="B17" s="7" t="s">
        <v>23</v>
      </c>
      <c r="C17" s="7" t="n">
        <f aca="false">COUNTIFS(Reconciliation!$AC$6:$AC$110,1,Reconciliation!$Y$6:$Y$110,"Y")</f>
        <v>16</v>
      </c>
      <c r="D17" s="7" t="n">
        <f aca="false">COUNTIFS(Reconciliation!$AC$6:$AC$110,1,Reconciliation!$Z$6:$Z$110,"Y")</f>
        <v>31</v>
      </c>
      <c r="E17" s="7" t="s">
        <v>50</v>
      </c>
    </row>
    <row r="18" customFormat="false" ht="15" hidden="false" customHeight="false" outlineLevel="0" collapsed="false">
      <c r="A18" s="7" t="s">
        <v>51</v>
      </c>
      <c r="B18" s="7" t="s">
        <v>23</v>
      </c>
      <c r="C18" s="7" t="n">
        <f aca="false">COUNTIFS(Reconciliation!$AD$6:$AD$110,1,Reconciliation!$Y$6:$Y$110,"Y")</f>
        <v>40</v>
      </c>
      <c r="D18" s="7" t="n">
        <f aca="false">COUNTIFS(Reconciliation!$AD$6:$AD$110,1,Reconciliation!$Z$6:$Z$110,"Y")</f>
        <v>95</v>
      </c>
      <c r="E18" s="7" t="s">
        <v>52</v>
      </c>
    </row>
    <row r="19" customFormat="false" ht="15" hidden="false" customHeight="false" outlineLevel="0" collapsed="false">
      <c r="A19" s="7" t="s">
        <v>53</v>
      </c>
      <c r="B19" s="7" t="s">
        <v>23</v>
      </c>
      <c r="C19" s="7" t="s">
        <v>32</v>
      </c>
      <c r="D19" s="7" t="s">
        <v>32</v>
      </c>
      <c r="E19" s="7" t="s">
        <v>54</v>
      </c>
    </row>
    <row r="20" customFormat="false" ht="15" hidden="false" customHeight="false" outlineLevel="0" collapsed="false">
      <c r="A20" s="7" t="s">
        <v>55</v>
      </c>
      <c r="B20" s="7" t="s">
        <v>23</v>
      </c>
      <c r="C20" s="7" t="n">
        <f aca="false">COUNTIFS(Reconciliation!$V$6:$V$110,"Not given",Reconciliation!$Y$6:$Y$110,"Y")</f>
        <v>40</v>
      </c>
      <c r="D20" s="7" t="n">
        <f aca="false">COUNTIFS(Reconciliation!$V$6:$V$110,"Not given",Reconciliation!$Z$6:$Z$110,"Y")</f>
        <v>95</v>
      </c>
      <c r="E20" s="7" t="s">
        <v>56</v>
      </c>
    </row>
    <row r="21" customFormat="false" ht="15" hidden="false" customHeight="false" outlineLevel="0" collapsed="false">
      <c r="A21" s="7" t="s">
        <v>57</v>
      </c>
      <c r="B21" s="7" t="s">
        <v>23</v>
      </c>
      <c r="C21" s="7" t="n">
        <f aca="false">COUNTIFS(Reconciliation!$AF$6:$AF$110,1,Reconciliation!$Y$6:$Y$110,"Y")</f>
        <v>40</v>
      </c>
      <c r="D21" s="7" t="n">
        <f aca="false">COUNTIFS(Reconciliation!$AF$6:$AF$110,1,Reconciliation!$Z$6:$Z$110,"Y")</f>
        <v>95</v>
      </c>
      <c r="E21" s="7" t="s">
        <v>58</v>
      </c>
    </row>
    <row r="22" customFormat="false" ht="15" hidden="false" customHeight="false" outlineLevel="0" collapsed="false">
      <c r="A22" s="7" t="s">
        <v>59</v>
      </c>
      <c r="B22" s="7" t="s">
        <v>23</v>
      </c>
      <c r="C22" s="7" t="n">
        <f aca="false">COUNTIF(Reconciliation!$AI$6:$AI$110,1)</f>
        <v>1</v>
      </c>
      <c r="D22" s="7"/>
      <c r="E22" s="7" t="s">
        <v>60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4"/>
    <col collapsed="false" customWidth="true" hidden="false" outlineLevel="0" max="3" min="3" style="0" width="90"/>
  </cols>
  <sheetData>
    <row r="1" customFormat="false" ht="17.35" hidden="false" customHeight="false" outlineLevel="0" collapsed="false">
      <c r="A1" s="1" t="s">
        <v>61</v>
      </c>
      <c r="B1" s="2"/>
      <c r="C1" s="2"/>
    </row>
    <row r="2" customFormat="false" ht="15" hidden="false" customHeight="false" outlineLevel="0" collapsed="false">
      <c r="A2" s="2"/>
      <c r="B2" s="2"/>
      <c r="C2" s="2"/>
    </row>
    <row r="3" customFormat="false" ht="15" hidden="false" customHeight="false" outlineLevel="0" collapsed="false">
      <c r="A3" s="6" t="s">
        <v>62</v>
      </c>
      <c r="B3" s="6" t="s">
        <v>63</v>
      </c>
      <c r="C3" s="6" t="s">
        <v>64</v>
      </c>
    </row>
    <row r="4" customFormat="false" ht="23.85" hidden="false" customHeight="false" outlineLevel="0" collapsed="false">
      <c r="A4" s="7" t="s">
        <v>65</v>
      </c>
      <c r="B4" s="8" t="n">
        <v>0.7</v>
      </c>
      <c r="C4" s="7" t="s">
        <v>66</v>
      </c>
    </row>
    <row r="5" customFormat="false" ht="23.85" hidden="false" customHeight="false" outlineLevel="0" collapsed="false">
      <c r="A5" s="7" t="s">
        <v>67</v>
      </c>
      <c r="B5" s="7" t="s">
        <v>68</v>
      </c>
      <c r="C5" s="7" t="s">
        <v>69</v>
      </c>
    </row>
    <row r="6" customFormat="false" ht="23.85" hidden="false" customHeight="false" outlineLevel="0" collapsed="false">
      <c r="A6" s="7" t="s">
        <v>70</v>
      </c>
      <c r="B6" s="7" t="s">
        <v>71</v>
      </c>
      <c r="C6" s="7" t="s">
        <v>72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I1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4"/>
    <col collapsed="false" customWidth="true" hidden="false" outlineLevel="0" max="4" min="4" style="0" width="11"/>
    <col collapsed="false" customWidth="true" hidden="false" outlineLevel="0" max="6" min="5" style="0" width="20"/>
    <col collapsed="false" customWidth="true" hidden="false" outlineLevel="0" max="7" min="7" style="0" width="12"/>
    <col collapsed="false" customWidth="true" hidden="false" outlineLevel="0" max="8" min="8" style="0" width="10"/>
    <col collapsed="false" customWidth="true" hidden="false" outlineLevel="0" max="9" min="9" style="0" width="44"/>
    <col collapsed="false" customWidth="true" hidden="false" outlineLevel="0" max="10" min="10" style="0" width="11"/>
    <col collapsed="false" customWidth="true" hidden="false" outlineLevel="0" max="12" min="11" style="0" width="12"/>
    <col collapsed="false" customWidth="true" hidden="false" outlineLevel="0" max="13" min="13" style="0" width="40"/>
    <col collapsed="false" customWidth="true" hidden="false" outlineLevel="0" max="14" min="14" style="0" width="16"/>
    <col collapsed="false" customWidth="true" hidden="false" outlineLevel="0" max="15" min="15" style="0" width="12"/>
    <col collapsed="false" customWidth="true" hidden="false" outlineLevel="0" max="16" min="16" style="0" width="13"/>
    <col collapsed="false" customWidth="true" hidden="false" outlineLevel="0" max="17" min="17" style="0" width="20"/>
    <col collapsed="false" customWidth="true" hidden="false" outlineLevel="0" max="18" min="18" style="0" width="36"/>
    <col collapsed="false" customWidth="true" hidden="false" outlineLevel="0" max="19" min="19" style="0" width="11"/>
    <col collapsed="false" customWidth="true" hidden="false" outlineLevel="0" max="20" min="20" style="0" width="10"/>
    <col collapsed="false" customWidth="true" hidden="false" outlineLevel="0" max="21" min="21" style="0" width="34"/>
    <col collapsed="false" customWidth="true" hidden="false" outlineLevel="0" max="22" min="22" style="0" width="11"/>
    <col collapsed="false" customWidth="true" hidden="false" outlineLevel="0" max="23" min="23" style="0" width="22"/>
    <col collapsed="false" customWidth="true" hidden="false" outlineLevel="0" max="24" min="24" style="0" width="30"/>
    <col collapsed="false" customWidth="true" hidden="false" outlineLevel="0" max="25" min="25" style="0" width="9"/>
    <col collapsed="false" customWidth="true" hidden="false" outlineLevel="0" max="26" min="26" style="0" width="8"/>
    <col collapsed="false" customWidth="true" hidden="false" outlineLevel="0" max="27" min="27" style="0" width="22"/>
    <col collapsed="false" customWidth="true" hidden="false" outlineLevel="0" max="28" min="28" style="0" width="28"/>
    <col collapsed="false" customWidth="true" hidden="false" outlineLevel="0" max="35" min="29" style="0" width="7"/>
  </cols>
  <sheetData>
    <row r="1" customFormat="false" ht="17.35" hidden="false" customHeight="false" outlineLevel="0" collapsed="false">
      <c r="A1" s="1" t="s">
        <v>73</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row>
    <row r="2" customFormat="false" ht="30" hidden="false" customHeight="true" outlineLevel="0" collapsed="false">
      <c r="A2" s="9" t="s">
        <v>74</v>
      </c>
      <c r="B2" s="9"/>
      <c r="C2" s="9"/>
      <c r="D2" s="9"/>
      <c r="E2" s="9"/>
      <c r="F2" s="9"/>
      <c r="G2" s="9"/>
      <c r="H2" s="9"/>
      <c r="I2" s="9"/>
      <c r="J2" s="9"/>
      <c r="K2" s="9"/>
      <c r="L2" s="9"/>
      <c r="M2" s="9"/>
      <c r="N2" s="9"/>
      <c r="O2" s="2"/>
      <c r="P2" s="2"/>
      <c r="Q2" s="2"/>
      <c r="R2" s="2"/>
      <c r="S2" s="2"/>
      <c r="T2" s="2"/>
      <c r="U2" s="2"/>
      <c r="V2" s="2"/>
      <c r="W2" s="2"/>
      <c r="X2" s="2"/>
      <c r="Y2" s="2"/>
      <c r="Z2" s="2"/>
      <c r="AA2" s="2"/>
      <c r="AB2" s="2"/>
      <c r="AC2" s="2"/>
      <c r="AD2" s="2"/>
      <c r="AE2" s="2"/>
      <c r="AF2" s="2"/>
      <c r="AG2" s="2"/>
      <c r="AH2" s="2"/>
      <c r="AI2" s="2"/>
    </row>
    <row r="3" customFormat="false" ht="15" hidden="false" customHeight="false" outlineLevel="0" collapsed="false">
      <c r="A3" s="9"/>
      <c r="B3" s="9"/>
      <c r="C3" s="9"/>
      <c r="D3" s="9"/>
      <c r="E3" s="9"/>
      <c r="F3" s="9"/>
      <c r="G3" s="9"/>
      <c r="H3" s="9"/>
      <c r="I3" s="9"/>
      <c r="J3" s="9"/>
      <c r="K3" s="9"/>
      <c r="L3" s="9"/>
      <c r="M3" s="9"/>
      <c r="N3" s="9"/>
      <c r="O3" s="2"/>
      <c r="P3" s="2"/>
      <c r="Q3" s="2"/>
      <c r="R3" s="2"/>
      <c r="S3" s="2"/>
      <c r="T3" s="2"/>
      <c r="U3" s="2"/>
      <c r="V3" s="2"/>
      <c r="W3" s="2"/>
      <c r="X3" s="2"/>
      <c r="Y3" s="2"/>
      <c r="Z3" s="2"/>
      <c r="AA3" s="2"/>
      <c r="AB3" s="2"/>
      <c r="AC3" s="2"/>
      <c r="AD3" s="2"/>
      <c r="AE3" s="2"/>
      <c r="AF3" s="2"/>
      <c r="AG3" s="2"/>
      <c r="AH3" s="2"/>
      <c r="AI3" s="2"/>
    </row>
    <row r="4" customFormat="false" ht="15" hidden="false" customHeight="false" outlineLevel="0" collapsed="false">
      <c r="A4" s="2"/>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row>
    <row r="5" customFormat="false" ht="79.85" hidden="false" customHeight="false" outlineLevel="0" collapsed="false">
      <c r="A5" s="6" t="s">
        <v>75</v>
      </c>
      <c r="B5" s="6" t="s">
        <v>76</v>
      </c>
      <c r="C5" s="6" t="s">
        <v>77</v>
      </c>
      <c r="D5" s="6" t="s">
        <v>78</v>
      </c>
      <c r="E5" s="6" t="s">
        <v>79</v>
      </c>
      <c r="F5" s="6" t="s">
        <v>80</v>
      </c>
      <c r="G5" s="6" t="s">
        <v>81</v>
      </c>
      <c r="H5" s="6" t="s">
        <v>82</v>
      </c>
      <c r="I5" s="6" t="s">
        <v>83</v>
      </c>
      <c r="J5" s="6" t="s">
        <v>84</v>
      </c>
      <c r="K5" s="6" t="s">
        <v>85</v>
      </c>
      <c r="L5" s="6" t="s">
        <v>86</v>
      </c>
      <c r="M5" s="6" t="s">
        <v>87</v>
      </c>
      <c r="N5" s="6" t="s">
        <v>88</v>
      </c>
      <c r="O5" s="6" t="s">
        <v>89</v>
      </c>
      <c r="P5" s="6" t="s">
        <v>90</v>
      </c>
      <c r="Q5" s="6" t="s">
        <v>91</v>
      </c>
      <c r="R5" s="6" t="s">
        <v>92</v>
      </c>
      <c r="S5" s="6" t="s">
        <v>93</v>
      </c>
      <c r="T5" s="6" t="s">
        <v>94</v>
      </c>
      <c r="U5" s="6" t="s">
        <v>95</v>
      </c>
      <c r="V5" s="6" t="s">
        <v>96</v>
      </c>
      <c r="W5" s="6" t="s">
        <v>97</v>
      </c>
      <c r="X5" s="6" t="s">
        <v>98</v>
      </c>
      <c r="Y5" s="6" t="s">
        <v>99</v>
      </c>
      <c r="Z5" s="6" t="s">
        <v>100</v>
      </c>
      <c r="AA5" s="6" t="s">
        <v>101</v>
      </c>
      <c r="AB5" s="6" t="s">
        <v>102</v>
      </c>
      <c r="AC5" s="6" t="s">
        <v>103</v>
      </c>
      <c r="AD5" s="6" t="s">
        <v>104</v>
      </c>
      <c r="AE5" s="6" t="s">
        <v>105</v>
      </c>
      <c r="AF5" s="6" t="s">
        <v>106</v>
      </c>
      <c r="AG5" s="6" t="s">
        <v>107</v>
      </c>
      <c r="AH5" s="6" t="s">
        <v>108</v>
      </c>
      <c r="AI5" s="6" t="s">
        <v>109</v>
      </c>
    </row>
    <row r="6" customFormat="false" ht="35.05" hidden="false" customHeight="false" outlineLevel="0" collapsed="false">
      <c r="A6" s="7" t="s">
        <v>110</v>
      </c>
      <c r="B6" s="7"/>
      <c r="C6" s="7" t="s">
        <v>111</v>
      </c>
      <c r="D6" s="7" t="s">
        <v>112</v>
      </c>
      <c r="E6" s="7" t="s">
        <v>113</v>
      </c>
      <c r="F6" s="7" t="s">
        <v>113</v>
      </c>
      <c r="G6" s="7"/>
      <c r="H6" s="7" t="s">
        <v>114</v>
      </c>
      <c r="I6" s="7" t="s">
        <v>115</v>
      </c>
      <c r="J6" s="10"/>
      <c r="K6" s="10" t="n">
        <v>240</v>
      </c>
      <c r="L6" s="11"/>
      <c r="M6" s="7" t="s">
        <v>116</v>
      </c>
      <c r="N6" s="7" t="s">
        <v>117</v>
      </c>
      <c r="O6" s="10" t="n">
        <v>160</v>
      </c>
      <c r="P6" s="10" t="str">
        <f aca="false">IF(AND(ISNUMBER(J6),J6&gt;0),ROUND(J6*Assumptions!$B$4,2),"")</f>
        <v/>
      </c>
      <c r="Q6" s="7" t="str">
        <f aca="false">IF(AND(ISNUMBER(K6),ISNUMBER(O6)),IF(ROUND(K6*Assumptions!$B$4,2)=O6,"Equals 70%","Differs ("&amp;TEXT(O6/K6,"0%")&amp;" of B2C)"),"")</f>
        <v>Differs (67% of B2C)</v>
      </c>
      <c r="R6" s="7" t="s">
        <v>118</v>
      </c>
      <c r="S6" s="7"/>
      <c r="T6" s="7" t="s">
        <v>119</v>
      </c>
      <c r="U6" s="7" t="s">
        <v>120</v>
      </c>
      <c r="V6" s="7" t="s">
        <v>121</v>
      </c>
      <c r="W6" s="7" t="s">
        <v>117</v>
      </c>
      <c r="X6" s="7" t="s">
        <v>122</v>
      </c>
      <c r="Y6" s="7" t="s">
        <v>123</v>
      </c>
      <c r="Z6" s="7" t="s">
        <v>124</v>
      </c>
      <c r="AA6" s="7" t="s">
        <v>125</v>
      </c>
      <c r="AB6" s="7" t="s">
        <v>126</v>
      </c>
      <c r="AC6" s="7" t="n">
        <v>0</v>
      </c>
      <c r="AD6" s="7" t="n">
        <v>1</v>
      </c>
      <c r="AE6" s="7" t="n">
        <v>0</v>
      </c>
      <c r="AF6" s="7" t="n">
        <v>1</v>
      </c>
      <c r="AG6" s="7" t="n">
        <v>1</v>
      </c>
      <c r="AH6" s="7" t="n">
        <v>0</v>
      </c>
      <c r="AI6" s="7" t="n">
        <v>0</v>
      </c>
    </row>
    <row r="7" customFormat="false" ht="23.85" hidden="false" customHeight="false" outlineLevel="0" collapsed="false">
      <c r="A7" s="7" t="s">
        <v>125</v>
      </c>
      <c r="B7" s="7" t="s">
        <v>127</v>
      </c>
      <c r="C7" s="7"/>
      <c r="D7" s="7" t="s">
        <v>112</v>
      </c>
      <c r="E7" s="7" t="s">
        <v>113</v>
      </c>
      <c r="F7" s="7"/>
      <c r="G7" s="7" t="s">
        <v>114</v>
      </c>
      <c r="H7" s="7"/>
      <c r="I7" s="7" t="s">
        <v>115</v>
      </c>
      <c r="J7" s="10" t="n">
        <v>0</v>
      </c>
      <c r="K7" s="10"/>
      <c r="L7" s="11"/>
      <c r="M7" s="12" t="s">
        <v>128</v>
      </c>
      <c r="N7" s="7" t="s">
        <v>129</v>
      </c>
      <c r="O7" s="10"/>
      <c r="P7" s="10" t="str">
        <f aca="false">IF(AND(ISNUMBER(J7),J7&gt;0),ROUND(J7*Assumptions!$B$4,2),"")</f>
        <v/>
      </c>
      <c r="Q7" s="7" t="str">
        <f aca="false">IF(AND(ISNUMBER(K7),ISNUMBER(O7)),IF(ROUND(K7*Assumptions!$B$4,2)=O7,"Equals 70%","Differs ("&amp;TEXT(O7/K7,"0%")&amp;" of B2C)"),"")</f>
        <v/>
      </c>
      <c r="R7" s="7" t="s">
        <v>130</v>
      </c>
      <c r="S7" s="7" t="s">
        <v>131</v>
      </c>
      <c r="T7" s="7"/>
      <c r="U7" s="7" t="s">
        <v>132</v>
      </c>
      <c r="V7" s="7" t="s">
        <v>121</v>
      </c>
      <c r="W7" s="7" t="s">
        <v>133</v>
      </c>
      <c r="X7" s="7" t="s">
        <v>134</v>
      </c>
      <c r="Y7" s="7" t="s">
        <v>124</v>
      </c>
      <c r="Z7" s="7" t="s">
        <v>123</v>
      </c>
      <c r="AA7" s="7" t="s">
        <v>135</v>
      </c>
      <c r="AB7" s="7" t="s">
        <v>136</v>
      </c>
      <c r="AC7" s="7" t="n">
        <v>0</v>
      </c>
      <c r="AD7" s="7" t="n">
        <v>1</v>
      </c>
      <c r="AE7" s="7" t="n">
        <v>1</v>
      </c>
      <c r="AF7" s="7" t="n">
        <v>1</v>
      </c>
      <c r="AG7" s="7" t="n">
        <v>1</v>
      </c>
      <c r="AH7" s="7" t="n">
        <v>1</v>
      </c>
      <c r="AI7" s="7" t="n">
        <v>0</v>
      </c>
    </row>
    <row r="8" customFormat="false" ht="35.05" hidden="false" customHeight="false" outlineLevel="0" collapsed="false">
      <c r="A8" s="7" t="s">
        <v>137</v>
      </c>
      <c r="B8" s="7" t="s">
        <v>138</v>
      </c>
      <c r="C8" s="7" t="s">
        <v>139</v>
      </c>
      <c r="D8" s="7" t="s">
        <v>112</v>
      </c>
      <c r="E8" s="7" t="s">
        <v>113</v>
      </c>
      <c r="F8" s="7" t="s">
        <v>113</v>
      </c>
      <c r="G8" s="7" t="s">
        <v>114</v>
      </c>
      <c r="H8" s="7" t="s">
        <v>114</v>
      </c>
      <c r="I8" s="7" t="s">
        <v>115</v>
      </c>
      <c r="J8" s="10" t="n">
        <v>0</v>
      </c>
      <c r="K8" s="10" t="n">
        <v>450</v>
      </c>
      <c r="L8" s="11"/>
      <c r="M8" s="12" t="s">
        <v>128</v>
      </c>
      <c r="N8" s="7" t="s">
        <v>129</v>
      </c>
      <c r="O8" s="10" t="n">
        <v>300</v>
      </c>
      <c r="P8" s="10" t="str">
        <f aca="false">IF(AND(ISNUMBER(J8),J8&gt;0),ROUND(J8*Assumptions!$B$4,2),"")</f>
        <v/>
      </c>
      <c r="Q8" s="7" t="str">
        <f aca="false">IF(AND(ISNUMBER(K8),ISNUMBER(O8)),IF(ROUND(K8*Assumptions!$B$4,2)=O8,"Equals 70%","Differs ("&amp;TEXT(O8/K8,"0%")&amp;" of B2C)"),"")</f>
        <v>Differs (67% of B2C)</v>
      </c>
      <c r="R8" s="7" t="s">
        <v>140</v>
      </c>
      <c r="S8" s="7" t="s">
        <v>131</v>
      </c>
      <c r="T8" s="7" t="s">
        <v>119</v>
      </c>
      <c r="U8" s="7" t="s">
        <v>120</v>
      </c>
      <c r="V8" s="7" t="s">
        <v>121</v>
      </c>
      <c r="W8" s="7" t="s">
        <v>133</v>
      </c>
      <c r="X8" s="7" t="s">
        <v>134</v>
      </c>
      <c r="Y8" s="7" t="s">
        <v>124</v>
      </c>
      <c r="Z8" s="7" t="s">
        <v>124</v>
      </c>
      <c r="AA8" s="7"/>
      <c r="AB8" s="7" t="s">
        <v>141</v>
      </c>
      <c r="AC8" s="7" t="n">
        <v>0</v>
      </c>
      <c r="AD8" s="7" t="n">
        <v>1</v>
      </c>
      <c r="AE8" s="7" t="n">
        <v>1</v>
      </c>
      <c r="AF8" s="7" t="n">
        <v>1</v>
      </c>
      <c r="AG8" s="7" t="n">
        <v>0</v>
      </c>
      <c r="AH8" s="7" t="n">
        <v>1</v>
      </c>
      <c r="AI8" s="7" t="n">
        <v>0</v>
      </c>
    </row>
    <row r="9" customFormat="false" ht="35.05" hidden="false" customHeight="false" outlineLevel="0" collapsed="false">
      <c r="A9" s="7" t="s">
        <v>142</v>
      </c>
      <c r="B9" s="7"/>
      <c r="C9" s="7" t="s">
        <v>143</v>
      </c>
      <c r="D9" s="7" t="s">
        <v>112</v>
      </c>
      <c r="E9" s="7" t="s">
        <v>113</v>
      </c>
      <c r="F9" s="7" t="s">
        <v>113</v>
      </c>
      <c r="G9" s="7"/>
      <c r="H9" s="7" t="s">
        <v>114</v>
      </c>
      <c r="I9" s="7" t="s">
        <v>115</v>
      </c>
      <c r="J9" s="10"/>
      <c r="K9" s="10" t="n">
        <v>180</v>
      </c>
      <c r="L9" s="11"/>
      <c r="M9" s="7" t="s">
        <v>116</v>
      </c>
      <c r="N9" s="7" t="s">
        <v>117</v>
      </c>
      <c r="O9" s="10" t="n">
        <v>120</v>
      </c>
      <c r="P9" s="10" t="str">
        <f aca="false">IF(AND(ISNUMBER(J9),J9&gt;0),ROUND(J9*Assumptions!$B$4,2),"")</f>
        <v/>
      </c>
      <c r="Q9" s="7" t="str">
        <f aca="false">IF(AND(ISNUMBER(K9),ISNUMBER(O9)),IF(ROUND(K9*Assumptions!$B$4,2)=O9,"Equals 70%","Differs ("&amp;TEXT(O9/K9,"0%")&amp;" of B2C)"),"")</f>
        <v>Differs (67% of B2C)</v>
      </c>
      <c r="R9" s="7" t="s">
        <v>118</v>
      </c>
      <c r="S9" s="7"/>
      <c r="T9" s="7" t="s">
        <v>119</v>
      </c>
      <c r="U9" s="7" t="s">
        <v>120</v>
      </c>
      <c r="V9" s="7" t="s">
        <v>121</v>
      </c>
      <c r="W9" s="7" t="s">
        <v>117</v>
      </c>
      <c r="X9" s="7" t="s">
        <v>122</v>
      </c>
      <c r="Y9" s="7" t="s">
        <v>123</v>
      </c>
      <c r="Z9" s="7" t="s">
        <v>124</v>
      </c>
      <c r="AA9" s="7" t="s">
        <v>125</v>
      </c>
      <c r="AB9" s="7" t="s">
        <v>126</v>
      </c>
      <c r="AC9" s="7" t="n">
        <v>0</v>
      </c>
      <c r="AD9" s="7" t="n">
        <v>1</v>
      </c>
      <c r="AE9" s="7" t="n">
        <v>0</v>
      </c>
      <c r="AF9" s="7" t="n">
        <v>1</v>
      </c>
      <c r="AG9" s="7" t="n">
        <v>1</v>
      </c>
      <c r="AH9" s="7" t="n">
        <v>0</v>
      </c>
      <c r="AI9" s="7" t="n">
        <v>0</v>
      </c>
    </row>
    <row r="10" customFormat="false" ht="35.05" hidden="false" customHeight="false" outlineLevel="0" collapsed="false">
      <c r="A10" s="7" t="s">
        <v>144</v>
      </c>
      <c r="B10" s="7" t="s">
        <v>145</v>
      </c>
      <c r="C10" s="7" t="s">
        <v>146</v>
      </c>
      <c r="D10" s="7" t="s">
        <v>112</v>
      </c>
      <c r="E10" s="7" t="s">
        <v>113</v>
      </c>
      <c r="F10" s="7" t="s">
        <v>113</v>
      </c>
      <c r="G10" s="7" t="s">
        <v>114</v>
      </c>
      <c r="H10" s="7" t="s">
        <v>114</v>
      </c>
      <c r="I10" s="7" t="s">
        <v>115</v>
      </c>
      <c r="J10" s="10" t="n">
        <v>0</v>
      </c>
      <c r="K10" s="10" t="n">
        <v>150</v>
      </c>
      <c r="L10" s="11"/>
      <c r="M10" s="12" t="s">
        <v>128</v>
      </c>
      <c r="N10" s="7" t="s">
        <v>129</v>
      </c>
      <c r="O10" s="10" t="n">
        <v>100</v>
      </c>
      <c r="P10" s="10" t="str">
        <f aca="false">IF(AND(ISNUMBER(J10),J10&gt;0),ROUND(J10*Assumptions!$B$4,2),"")</f>
        <v/>
      </c>
      <c r="Q10" s="7" t="str">
        <f aca="false">IF(AND(ISNUMBER(K10),ISNUMBER(O10)),IF(ROUND(K10*Assumptions!$B$4,2)=O10,"Equals 70%","Differs ("&amp;TEXT(O10/K10,"0%")&amp;" of B2C)"),"")</f>
        <v>Differs (67% of B2C)</v>
      </c>
      <c r="R10" s="7" t="s">
        <v>140</v>
      </c>
      <c r="S10" s="7" t="s">
        <v>131</v>
      </c>
      <c r="T10" s="7" t="s">
        <v>119</v>
      </c>
      <c r="U10" s="7" t="s">
        <v>120</v>
      </c>
      <c r="V10" s="7" t="s">
        <v>121</v>
      </c>
      <c r="W10" s="7" t="s">
        <v>133</v>
      </c>
      <c r="X10" s="7" t="s">
        <v>134</v>
      </c>
      <c r="Y10" s="7" t="s">
        <v>124</v>
      </c>
      <c r="Z10" s="7" t="s">
        <v>124</v>
      </c>
      <c r="AA10" s="7"/>
      <c r="AB10" s="7" t="s">
        <v>141</v>
      </c>
      <c r="AC10" s="7" t="n">
        <v>0</v>
      </c>
      <c r="AD10" s="7" t="n">
        <v>1</v>
      </c>
      <c r="AE10" s="7" t="n">
        <v>1</v>
      </c>
      <c r="AF10" s="7" t="n">
        <v>1</v>
      </c>
      <c r="AG10" s="7" t="n">
        <v>0</v>
      </c>
      <c r="AH10" s="7" t="n">
        <v>1</v>
      </c>
      <c r="AI10" s="7" t="n">
        <v>0</v>
      </c>
    </row>
    <row r="11" customFormat="false" ht="35.05" hidden="false" customHeight="false" outlineLevel="0" collapsed="false">
      <c r="A11" s="7" t="s">
        <v>147</v>
      </c>
      <c r="B11" s="7"/>
      <c r="C11" s="7" t="s">
        <v>148</v>
      </c>
      <c r="D11" s="7" t="s">
        <v>149</v>
      </c>
      <c r="E11" s="7" t="s">
        <v>113</v>
      </c>
      <c r="F11" s="7" t="s">
        <v>113</v>
      </c>
      <c r="G11" s="7"/>
      <c r="H11" s="7" t="s">
        <v>150</v>
      </c>
      <c r="I11" s="7" t="s">
        <v>151</v>
      </c>
      <c r="J11" s="10"/>
      <c r="K11" s="10" t="n">
        <v>550</v>
      </c>
      <c r="L11" s="11"/>
      <c r="M11" s="7" t="s">
        <v>116</v>
      </c>
      <c r="N11" s="7" t="s">
        <v>117</v>
      </c>
      <c r="O11" s="10" t="n">
        <v>360</v>
      </c>
      <c r="P11" s="10" t="str">
        <f aca="false">IF(AND(ISNUMBER(J11),J11&gt;0),ROUND(J11*Assumptions!$B$4,2),"")</f>
        <v/>
      </c>
      <c r="Q11" s="7" t="str">
        <f aca="false">IF(AND(ISNUMBER(K11),ISNUMBER(O11)),IF(ROUND(K11*Assumptions!$B$4,2)=O11,"Equals 70%","Differs ("&amp;TEXT(O11/K11,"0%")&amp;" of B2C)"),"")</f>
        <v>Differs (65% of B2C)</v>
      </c>
      <c r="R11" s="7" t="s">
        <v>118</v>
      </c>
      <c r="S11" s="7"/>
      <c r="T11" s="7" t="s">
        <v>152</v>
      </c>
      <c r="U11" s="7" t="s">
        <v>120</v>
      </c>
      <c r="V11" s="7" t="s">
        <v>121</v>
      </c>
      <c r="W11" s="7" t="s">
        <v>117</v>
      </c>
      <c r="X11" s="7" t="s">
        <v>153</v>
      </c>
      <c r="Y11" s="7" t="s">
        <v>123</v>
      </c>
      <c r="Z11" s="7" t="s">
        <v>124</v>
      </c>
      <c r="AA11" s="7"/>
      <c r="AB11" s="7" t="s">
        <v>154</v>
      </c>
      <c r="AC11" s="7" t="n">
        <v>0</v>
      </c>
      <c r="AD11" s="7" t="n">
        <v>1</v>
      </c>
      <c r="AE11" s="7" t="n">
        <v>0</v>
      </c>
      <c r="AF11" s="7" t="n">
        <v>1</v>
      </c>
      <c r="AG11" s="7" t="n">
        <v>0</v>
      </c>
      <c r="AH11" s="7" t="n">
        <v>0</v>
      </c>
      <c r="AI11" s="7" t="n">
        <v>0</v>
      </c>
    </row>
    <row r="12" customFormat="false" ht="35.05" hidden="false" customHeight="false" outlineLevel="0" collapsed="false">
      <c r="A12" s="7" t="s">
        <v>155</v>
      </c>
      <c r="B12" s="7"/>
      <c r="C12" s="7" t="s">
        <v>156</v>
      </c>
      <c r="D12" s="7" t="s">
        <v>149</v>
      </c>
      <c r="E12" s="7" t="s">
        <v>113</v>
      </c>
      <c r="F12" s="7" t="s">
        <v>113</v>
      </c>
      <c r="G12" s="7"/>
      <c r="H12" s="7" t="s">
        <v>157</v>
      </c>
      <c r="I12" s="7" t="s">
        <v>151</v>
      </c>
      <c r="J12" s="10"/>
      <c r="K12" s="10" t="n">
        <v>2800</v>
      </c>
      <c r="L12" s="11"/>
      <c r="M12" s="7" t="s">
        <v>116</v>
      </c>
      <c r="N12" s="7" t="s">
        <v>117</v>
      </c>
      <c r="O12" s="10" t="n">
        <v>1800</v>
      </c>
      <c r="P12" s="10" t="str">
        <f aca="false">IF(AND(ISNUMBER(J12),J12&gt;0),ROUND(J12*Assumptions!$B$4,2),"")</f>
        <v/>
      </c>
      <c r="Q12" s="7" t="str">
        <f aca="false">IF(AND(ISNUMBER(K12),ISNUMBER(O12)),IF(ROUND(K12*Assumptions!$B$4,2)=O12,"Equals 70%","Differs ("&amp;TEXT(O12/K12,"0%")&amp;" of B2C)"),"")</f>
        <v>Differs (64% of B2C)</v>
      </c>
      <c r="R12" s="7" t="s">
        <v>118</v>
      </c>
      <c r="S12" s="7"/>
      <c r="T12" s="7" t="s">
        <v>152</v>
      </c>
      <c r="U12" s="7" t="s">
        <v>120</v>
      </c>
      <c r="V12" s="7" t="s">
        <v>121</v>
      </c>
      <c r="W12" s="7" t="s">
        <v>117</v>
      </c>
      <c r="X12" s="7" t="s">
        <v>153</v>
      </c>
      <c r="Y12" s="7" t="s">
        <v>123</v>
      </c>
      <c r="Z12" s="7" t="s">
        <v>124</v>
      </c>
      <c r="AA12" s="7"/>
      <c r="AB12" s="7" t="s">
        <v>154</v>
      </c>
      <c r="AC12" s="7" t="n">
        <v>0</v>
      </c>
      <c r="AD12" s="7" t="n">
        <v>1</v>
      </c>
      <c r="AE12" s="7" t="n">
        <v>0</v>
      </c>
      <c r="AF12" s="7" t="n">
        <v>1</v>
      </c>
      <c r="AG12" s="7" t="n">
        <v>0</v>
      </c>
      <c r="AH12" s="7" t="n">
        <v>0</v>
      </c>
      <c r="AI12" s="7" t="n">
        <v>0</v>
      </c>
    </row>
    <row r="13" customFormat="false" ht="35.05" hidden="false" customHeight="false" outlineLevel="0" collapsed="false">
      <c r="A13" s="7" t="s">
        <v>158</v>
      </c>
      <c r="B13" s="7" t="s">
        <v>159</v>
      </c>
      <c r="C13" s="7" t="s">
        <v>160</v>
      </c>
      <c r="D13" s="7" t="s">
        <v>149</v>
      </c>
      <c r="E13" s="7" t="s">
        <v>113</v>
      </c>
      <c r="F13" s="7" t="s">
        <v>113</v>
      </c>
      <c r="G13" s="7" t="s">
        <v>157</v>
      </c>
      <c r="H13" s="7" t="s">
        <v>157</v>
      </c>
      <c r="I13" s="7" t="s">
        <v>161</v>
      </c>
      <c r="J13" s="10" t="n">
        <v>0</v>
      </c>
      <c r="K13" s="10" t="n">
        <v>1100</v>
      </c>
      <c r="L13" s="11"/>
      <c r="M13" s="12" t="s">
        <v>128</v>
      </c>
      <c r="N13" s="7" t="s">
        <v>129</v>
      </c>
      <c r="O13" s="10" t="n">
        <v>750</v>
      </c>
      <c r="P13" s="10" t="str">
        <f aca="false">IF(AND(ISNUMBER(J13),J13&gt;0),ROUND(J13*Assumptions!$B$4,2),"")</f>
        <v/>
      </c>
      <c r="Q13" s="7" t="str">
        <f aca="false">IF(AND(ISNUMBER(K13),ISNUMBER(O13)),IF(ROUND(K13*Assumptions!$B$4,2)=O13,"Equals 70%","Differs ("&amp;TEXT(O13/K13,"0%")&amp;" of B2C)"),"")</f>
        <v>Differs (68% of B2C)</v>
      </c>
      <c r="R13" s="7" t="s">
        <v>140</v>
      </c>
      <c r="S13" s="7" t="s">
        <v>131</v>
      </c>
      <c r="T13" s="7" t="s">
        <v>152</v>
      </c>
      <c r="U13" s="7" t="s">
        <v>120</v>
      </c>
      <c r="V13" s="7" t="s">
        <v>121</v>
      </c>
      <c r="W13" s="7" t="s">
        <v>133</v>
      </c>
      <c r="X13" s="7" t="s">
        <v>162</v>
      </c>
      <c r="Y13" s="7" t="s">
        <v>124</v>
      </c>
      <c r="Z13" s="7" t="s">
        <v>124</v>
      </c>
      <c r="AA13" s="7"/>
      <c r="AB13" s="7" t="s">
        <v>141</v>
      </c>
      <c r="AC13" s="7" t="n">
        <v>0</v>
      </c>
      <c r="AD13" s="7" t="n">
        <v>1</v>
      </c>
      <c r="AE13" s="7" t="n">
        <v>1</v>
      </c>
      <c r="AF13" s="7" t="n">
        <v>1</v>
      </c>
      <c r="AG13" s="7" t="n">
        <v>0</v>
      </c>
      <c r="AH13" s="7" t="n">
        <v>1</v>
      </c>
      <c r="AI13" s="7" t="n">
        <v>0</v>
      </c>
    </row>
    <row r="14" customFormat="false" ht="35.05" hidden="false" customHeight="false" outlineLevel="0" collapsed="false">
      <c r="A14" s="7" t="s">
        <v>163</v>
      </c>
      <c r="B14" s="7" t="s">
        <v>164</v>
      </c>
      <c r="C14" s="7" t="s">
        <v>165</v>
      </c>
      <c r="D14" s="7" t="s">
        <v>149</v>
      </c>
      <c r="E14" s="7" t="s">
        <v>113</v>
      </c>
      <c r="F14" s="7" t="s">
        <v>113</v>
      </c>
      <c r="G14" s="7" t="s">
        <v>157</v>
      </c>
      <c r="H14" s="7" t="s">
        <v>150</v>
      </c>
      <c r="I14" s="12" t="s">
        <v>166</v>
      </c>
      <c r="J14" s="10" t="n">
        <v>0</v>
      </c>
      <c r="K14" s="10" t="n">
        <v>280</v>
      </c>
      <c r="L14" s="11"/>
      <c r="M14" s="12" t="s">
        <v>128</v>
      </c>
      <c r="N14" s="7" t="s">
        <v>129</v>
      </c>
      <c r="O14" s="10" t="n">
        <v>170</v>
      </c>
      <c r="P14" s="10" t="str">
        <f aca="false">IF(AND(ISNUMBER(J14),J14&gt;0),ROUND(J14*Assumptions!$B$4,2),"")</f>
        <v/>
      </c>
      <c r="Q14" s="7" t="str">
        <f aca="false">IF(AND(ISNUMBER(K14),ISNUMBER(O14)),IF(ROUND(K14*Assumptions!$B$4,2)=O14,"Equals 70%","Differs ("&amp;TEXT(O14/K14,"0%")&amp;" of B2C)"),"")</f>
        <v>Differs (61% of B2C)</v>
      </c>
      <c r="R14" s="7" t="s">
        <v>140</v>
      </c>
      <c r="S14" s="7" t="s">
        <v>131</v>
      </c>
      <c r="T14" s="7" t="s">
        <v>152</v>
      </c>
      <c r="U14" s="7" t="s">
        <v>120</v>
      </c>
      <c r="V14" s="7" t="s">
        <v>121</v>
      </c>
      <c r="W14" s="7" t="s">
        <v>133</v>
      </c>
      <c r="X14" s="7" t="s">
        <v>162</v>
      </c>
      <c r="Y14" s="7" t="s">
        <v>124</v>
      </c>
      <c r="Z14" s="7" t="s">
        <v>124</v>
      </c>
      <c r="AA14" s="7"/>
      <c r="AB14" s="7" t="s">
        <v>167</v>
      </c>
      <c r="AC14" s="7" t="n">
        <v>1</v>
      </c>
      <c r="AD14" s="7" t="n">
        <v>1</v>
      </c>
      <c r="AE14" s="7" t="n">
        <v>1</v>
      </c>
      <c r="AF14" s="7" t="n">
        <v>1</v>
      </c>
      <c r="AG14" s="7" t="n">
        <v>0</v>
      </c>
      <c r="AH14" s="7" t="n">
        <v>1</v>
      </c>
      <c r="AI14" s="7" t="n">
        <v>0</v>
      </c>
    </row>
    <row r="15" customFormat="false" ht="35.05" hidden="false" customHeight="false" outlineLevel="0" collapsed="false">
      <c r="A15" s="7" t="s">
        <v>168</v>
      </c>
      <c r="B15" s="7"/>
      <c r="C15" s="7" t="s">
        <v>169</v>
      </c>
      <c r="D15" s="7" t="s">
        <v>149</v>
      </c>
      <c r="E15" s="7" t="s">
        <v>113</v>
      </c>
      <c r="F15" s="7" t="s">
        <v>113</v>
      </c>
      <c r="G15" s="7"/>
      <c r="H15" s="7" t="s">
        <v>157</v>
      </c>
      <c r="I15" s="7" t="s">
        <v>151</v>
      </c>
      <c r="J15" s="10"/>
      <c r="K15" s="10" t="n">
        <v>320</v>
      </c>
      <c r="L15" s="11"/>
      <c r="M15" s="7" t="s">
        <v>116</v>
      </c>
      <c r="N15" s="7" t="s">
        <v>117</v>
      </c>
      <c r="O15" s="10" t="n">
        <v>190</v>
      </c>
      <c r="P15" s="10" t="str">
        <f aca="false">IF(AND(ISNUMBER(J15),J15&gt;0),ROUND(J15*Assumptions!$B$4,2),"")</f>
        <v/>
      </c>
      <c r="Q15" s="7" t="str">
        <f aca="false">IF(AND(ISNUMBER(K15),ISNUMBER(O15)),IF(ROUND(K15*Assumptions!$B$4,2)=O15,"Equals 70%","Differs ("&amp;TEXT(O15/K15,"0%")&amp;" of B2C)"),"")</f>
        <v>Differs (59% of B2C)</v>
      </c>
      <c r="R15" s="7" t="s">
        <v>118</v>
      </c>
      <c r="S15" s="7"/>
      <c r="T15" s="7" t="s">
        <v>152</v>
      </c>
      <c r="U15" s="7" t="s">
        <v>120</v>
      </c>
      <c r="V15" s="7" t="s">
        <v>121</v>
      </c>
      <c r="W15" s="7" t="s">
        <v>117</v>
      </c>
      <c r="X15" s="7" t="s">
        <v>153</v>
      </c>
      <c r="Y15" s="7" t="s">
        <v>123</v>
      </c>
      <c r="Z15" s="7" t="s">
        <v>124</v>
      </c>
      <c r="AA15" s="7"/>
      <c r="AB15" s="7" t="s">
        <v>154</v>
      </c>
      <c r="AC15" s="7" t="n">
        <v>0</v>
      </c>
      <c r="AD15" s="7" t="n">
        <v>1</v>
      </c>
      <c r="AE15" s="7" t="n">
        <v>0</v>
      </c>
      <c r="AF15" s="7" t="n">
        <v>1</v>
      </c>
      <c r="AG15" s="7" t="n">
        <v>0</v>
      </c>
      <c r="AH15" s="7" t="n">
        <v>0</v>
      </c>
      <c r="AI15" s="7" t="n">
        <v>0</v>
      </c>
    </row>
    <row r="16" customFormat="false" ht="35.05" hidden="false" customHeight="false" outlineLevel="0" collapsed="false">
      <c r="A16" s="7" t="s">
        <v>170</v>
      </c>
      <c r="B16" s="7" t="s">
        <v>171</v>
      </c>
      <c r="C16" s="7" t="s">
        <v>172</v>
      </c>
      <c r="D16" s="7" t="s">
        <v>149</v>
      </c>
      <c r="E16" s="7" t="s">
        <v>113</v>
      </c>
      <c r="F16" s="7" t="s">
        <v>113</v>
      </c>
      <c r="G16" s="7" t="s">
        <v>150</v>
      </c>
      <c r="H16" s="7" t="s">
        <v>150</v>
      </c>
      <c r="I16" s="7" t="s">
        <v>161</v>
      </c>
      <c r="J16" s="10" t="n">
        <v>0</v>
      </c>
      <c r="K16" s="10" t="n">
        <v>450</v>
      </c>
      <c r="L16" s="11"/>
      <c r="M16" s="12" t="s">
        <v>128</v>
      </c>
      <c r="N16" s="7" t="s">
        <v>129</v>
      </c>
      <c r="O16" s="10" t="n">
        <v>280</v>
      </c>
      <c r="P16" s="10" t="str">
        <f aca="false">IF(AND(ISNUMBER(J16),J16&gt;0),ROUND(J16*Assumptions!$B$4,2),"")</f>
        <v/>
      </c>
      <c r="Q16" s="7" t="str">
        <f aca="false">IF(AND(ISNUMBER(K16),ISNUMBER(O16)),IF(ROUND(K16*Assumptions!$B$4,2)=O16,"Equals 70%","Differs ("&amp;TEXT(O16/K16,"0%")&amp;" of B2C)"),"")</f>
        <v>Differs (62% of B2C)</v>
      </c>
      <c r="R16" s="7" t="s">
        <v>140</v>
      </c>
      <c r="S16" s="7" t="s">
        <v>131</v>
      </c>
      <c r="T16" s="7" t="s">
        <v>152</v>
      </c>
      <c r="U16" s="7" t="s">
        <v>120</v>
      </c>
      <c r="V16" s="7" t="s">
        <v>121</v>
      </c>
      <c r="W16" s="7" t="s">
        <v>133</v>
      </c>
      <c r="X16" s="7" t="s">
        <v>162</v>
      </c>
      <c r="Y16" s="7" t="s">
        <v>124</v>
      </c>
      <c r="Z16" s="7" t="s">
        <v>124</v>
      </c>
      <c r="AA16" s="7"/>
      <c r="AB16" s="7" t="s">
        <v>141</v>
      </c>
      <c r="AC16" s="7" t="n">
        <v>0</v>
      </c>
      <c r="AD16" s="7" t="n">
        <v>1</v>
      </c>
      <c r="AE16" s="7" t="n">
        <v>1</v>
      </c>
      <c r="AF16" s="7" t="n">
        <v>1</v>
      </c>
      <c r="AG16" s="7" t="n">
        <v>0</v>
      </c>
      <c r="AH16" s="7" t="n">
        <v>1</v>
      </c>
      <c r="AI16" s="7" t="n">
        <v>0</v>
      </c>
    </row>
    <row r="17" customFormat="false" ht="35.05" hidden="false" customHeight="false" outlineLevel="0" collapsed="false">
      <c r="A17" s="7" t="s">
        <v>173</v>
      </c>
      <c r="B17" s="7"/>
      <c r="C17" s="7" t="s">
        <v>174</v>
      </c>
      <c r="D17" s="7" t="s">
        <v>149</v>
      </c>
      <c r="E17" s="7" t="s">
        <v>113</v>
      </c>
      <c r="F17" s="7" t="s">
        <v>113</v>
      </c>
      <c r="G17" s="7"/>
      <c r="H17" s="7" t="s">
        <v>150</v>
      </c>
      <c r="I17" s="7" t="s">
        <v>151</v>
      </c>
      <c r="J17" s="10"/>
      <c r="K17" s="10" t="n">
        <v>350</v>
      </c>
      <c r="L17" s="11"/>
      <c r="M17" s="7" t="s">
        <v>116</v>
      </c>
      <c r="N17" s="7" t="s">
        <v>117</v>
      </c>
      <c r="O17" s="10" t="n">
        <v>220</v>
      </c>
      <c r="P17" s="10" t="str">
        <f aca="false">IF(AND(ISNUMBER(J17),J17&gt;0),ROUND(J17*Assumptions!$B$4,2),"")</f>
        <v/>
      </c>
      <c r="Q17" s="7" t="str">
        <f aca="false">IF(AND(ISNUMBER(K17),ISNUMBER(O17)),IF(ROUND(K17*Assumptions!$B$4,2)=O17,"Equals 70%","Differs ("&amp;TEXT(O17/K17,"0%")&amp;" of B2C)"),"")</f>
        <v>Differs (63% of B2C)</v>
      </c>
      <c r="R17" s="7" t="s">
        <v>118</v>
      </c>
      <c r="S17" s="7"/>
      <c r="T17" s="7" t="s">
        <v>152</v>
      </c>
      <c r="U17" s="7" t="s">
        <v>120</v>
      </c>
      <c r="V17" s="7" t="s">
        <v>121</v>
      </c>
      <c r="W17" s="7" t="s">
        <v>117</v>
      </c>
      <c r="X17" s="7" t="s">
        <v>153</v>
      </c>
      <c r="Y17" s="7" t="s">
        <v>123</v>
      </c>
      <c r="Z17" s="7" t="s">
        <v>124</v>
      </c>
      <c r="AA17" s="7"/>
      <c r="AB17" s="7" t="s">
        <v>154</v>
      </c>
      <c r="AC17" s="7" t="n">
        <v>0</v>
      </c>
      <c r="AD17" s="7" t="n">
        <v>1</v>
      </c>
      <c r="AE17" s="7" t="n">
        <v>0</v>
      </c>
      <c r="AF17" s="7" t="n">
        <v>1</v>
      </c>
      <c r="AG17" s="7" t="n">
        <v>0</v>
      </c>
      <c r="AH17" s="7" t="n">
        <v>0</v>
      </c>
      <c r="AI17" s="7" t="n">
        <v>0</v>
      </c>
    </row>
    <row r="18" customFormat="false" ht="35.05" hidden="false" customHeight="false" outlineLevel="0" collapsed="false">
      <c r="A18" s="7" t="s">
        <v>175</v>
      </c>
      <c r="B18" s="7"/>
      <c r="C18" s="7" t="s">
        <v>176</v>
      </c>
      <c r="D18" s="7" t="s">
        <v>149</v>
      </c>
      <c r="E18" s="7" t="s">
        <v>113</v>
      </c>
      <c r="F18" s="7" t="s">
        <v>113</v>
      </c>
      <c r="G18" s="7"/>
      <c r="H18" s="7" t="s">
        <v>157</v>
      </c>
      <c r="I18" s="7" t="s">
        <v>151</v>
      </c>
      <c r="J18" s="10"/>
      <c r="K18" s="10" t="n">
        <v>4500</v>
      </c>
      <c r="L18" s="11"/>
      <c r="M18" s="7" t="s">
        <v>116</v>
      </c>
      <c r="N18" s="7" t="s">
        <v>117</v>
      </c>
      <c r="O18" s="10" t="n">
        <v>3100</v>
      </c>
      <c r="P18" s="10" t="str">
        <f aca="false">IF(AND(ISNUMBER(J18),J18&gt;0),ROUND(J18*Assumptions!$B$4,2),"")</f>
        <v/>
      </c>
      <c r="Q18" s="7" t="str">
        <f aca="false">IF(AND(ISNUMBER(K18),ISNUMBER(O18)),IF(ROUND(K18*Assumptions!$B$4,2)=O18,"Equals 70%","Differs ("&amp;TEXT(O18/K18,"0%")&amp;" of B2C)"),"")</f>
        <v>Differs (69% of B2C)</v>
      </c>
      <c r="R18" s="7" t="s">
        <v>118</v>
      </c>
      <c r="S18" s="7"/>
      <c r="T18" s="7" t="s">
        <v>152</v>
      </c>
      <c r="U18" s="7" t="s">
        <v>120</v>
      </c>
      <c r="V18" s="7" t="s">
        <v>121</v>
      </c>
      <c r="W18" s="7" t="s">
        <v>117</v>
      </c>
      <c r="X18" s="7" t="s">
        <v>153</v>
      </c>
      <c r="Y18" s="7" t="s">
        <v>123</v>
      </c>
      <c r="Z18" s="7" t="s">
        <v>124</v>
      </c>
      <c r="AA18" s="7"/>
      <c r="AB18" s="7" t="s">
        <v>154</v>
      </c>
      <c r="AC18" s="7" t="n">
        <v>0</v>
      </c>
      <c r="AD18" s="7" t="n">
        <v>1</v>
      </c>
      <c r="AE18" s="7" t="n">
        <v>0</v>
      </c>
      <c r="AF18" s="7" t="n">
        <v>1</v>
      </c>
      <c r="AG18" s="7" t="n">
        <v>0</v>
      </c>
      <c r="AH18" s="7" t="n">
        <v>0</v>
      </c>
      <c r="AI18" s="7" t="n">
        <v>0</v>
      </c>
    </row>
    <row r="19" customFormat="false" ht="35.05" hidden="false" customHeight="false" outlineLevel="0" collapsed="false">
      <c r="A19" s="7" t="s">
        <v>177</v>
      </c>
      <c r="B19" s="7"/>
      <c r="C19" s="7" t="s">
        <v>178</v>
      </c>
      <c r="D19" s="7" t="s">
        <v>149</v>
      </c>
      <c r="E19" s="7" t="s">
        <v>113</v>
      </c>
      <c r="F19" s="7" t="s">
        <v>113</v>
      </c>
      <c r="G19" s="7"/>
      <c r="H19" s="7" t="s">
        <v>150</v>
      </c>
      <c r="I19" s="7" t="s">
        <v>151</v>
      </c>
      <c r="J19" s="10"/>
      <c r="K19" s="10" t="n">
        <v>650</v>
      </c>
      <c r="L19" s="11"/>
      <c r="M19" s="7" t="s">
        <v>116</v>
      </c>
      <c r="N19" s="7" t="s">
        <v>117</v>
      </c>
      <c r="O19" s="10" t="n">
        <v>400</v>
      </c>
      <c r="P19" s="10" t="str">
        <f aca="false">IF(AND(ISNUMBER(J19),J19&gt;0),ROUND(J19*Assumptions!$B$4,2),"")</f>
        <v/>
      </c>
      <c r="Q19" s="7" t="str">
        <f aca="false">IF(AND(ISNUMBER(K19),ISNUMBER(O19)),IF(ROUND(K19*Assumptions!$B$4,2)=O19,"Equals 70%","Differs ("&amp;TEXT(O19/K19,"0%")&amp;" of B2C)"),"")</f>
        <v>Differs (62% of B2C)</v>
      </c>
      <c r="R19" s="7" t="s">
        <v>118</v>
      </c>
      <c r="S19" s="7"/>
      <c r="T19" s="7" t="s">
        <v>152</v>
      </c>
      <c r="U19" s="7" t="s">
        <v>120</v>
      </c>
      <c r="V19" s="7" t="s">
        <v>121</v>
      </c>
      <c r="W19" s="7" t="s">
        <v>117</v>
      </c>
      <c r="X19" s="7" t="s">
        <v>153</v>
      </c>
      <c r="Y19" s="7" t="s">
        <v>123</v>
      </c>
      <c r="Z19" s="7" t="s">
        <v>124</v>
      </c>
      <c r="AA19" s="7"/>
      <c r="AB19" s="7" t="s">
        <v>154</v>
      </c>
      <c r="AC19" s="7" t="n">
        <v>0</v>
      </c>
      <c r="AD19" s="7" t="n">
        <v>1</v>
      </c>
      <c r="AE19" s="7" t="n">
        <v>0</v>
      </c>
      <c r="AF19" s="7" t="n">
        <v>1</v>
      </c>
      <c r="AG19" s="7" t="n">
        <v>0</v>
      </c>
      <c r="AH19" s="7" t="n">
        <v>0</v>
      </c>
      <c r="AI19" s="7" t="n">
        <v>0</v>
      </c>
    </row>
    <row r="20" customFormat="false" ht="35.05" hidden="false" customHeight="false" outlineLevel="0" collapsed="false">
      <c r="A20" s="7" t="s">
        <v>179</v>
      </c>
      <c r="B20" s="7"/>
      <c r="C20" s="7" t="s">
        <v>180</v>
      </c>
      <c r="D20" s="7" t="s">
        <v>149</v>
      </c>
      <c r="E20" s="7" t="s">
        <v>113</v>
      </c>
      <c r="F20" s="7" t="s">
        <v>113</v>
      </c>
      <c r="G20" s="7"/>
      <c r="H20" s="7" t="s">
        <v>157</v>
      </c>
      <c r="I20" s="7" t="s">
        <v>151</v>
      </c>
      <c r="J20" s="10"/>
      <c r="K20" s="10" t="n">
        <v>140</v>
      </c>
      <c r="L20" s="11"/>
      <c r="M20" s="7" t="s">
        <v>116</v>
      </c>
      <c r="N20" s="7" t="s">
        <v>117</v>
      </c>
      <c r="O20" s="10" t="n">
        <v>75</v>
      </c>
      <c r="P20" s="10" t="str">
        <f aca="false">IF(AND(ISNUMBER(J20),J20&gt;0),ROUND(J20*Assumptions!$B$4,2),"")</f>
        <v/>
      </c>
      <c r="Q20" s="7" t="str">
        <f aca="false">IF(AND(ISNUMBER(K20),ISNUMBER(O20)),IF(ROUND(K20*Assumptions!$B$4,2)=O20,"Equals 70%","Differs ("&amp;TEXT(O20/K20,"0%")&amp;" of B2C)"),"")</f>
        <v>Differs (54% of B2C)</v>
      </c>
      <c r="R20" s="7" t="s">
        <v>118</v>
      </c>
      <c r="S20" s="7"/>
      <c r="T20" s="7" t="s">
        <v>152</v>
      </c>
      <c r="U20" s="7" t="s">
        <v>120</v>
      </c>
      <c r="V20" s="7" t="s">
        <v>121</v>
      </c>
      <c r="W20" s="7" t="s">
        <v>117</v>
      </c>
      <c r="X20" s="7" t="s">
        <v>153</v>
      </c>
      <c r="Y20" s="7" t="s">
        <v>123</v>
      </c>
      <c r="Z20" s="7" t="s">
        <v>124</v>
      </c>
      <c r="AA20" s="7"/>
      <c r="AB20" s="7" t="s">
        <v>154</v>
      </c>
      <c r="AC20" s="7" t="n">
        <v>0</v>
      </c>
      <c r="AD20" s="7" t="n">
        <v>1</v>
      </c>
      <c r="AE20" s="7" t="n">
        <v>0</v>
      </c>
      <c r="AF20" s="7" t="n">
        <v>1</v>
      </c>
      <c r="AG20" s="7" t="n">
        <v>0</v>
      </c>
      <c r="AH20" s="7" t="n">
        <v>0</v>
      </c>
      <c r="AI20" s="7" t="n">
        <v>0</v>
      </c>
    </row>
    <row r="21" customFormat="false" ht="35.05" hidden="false" customHeight="false" outlineLevel="0" collapsed="false">
      <c r="A21" s="7" t="s">
        <v>181</v>
      </c>
      <c r="B21" s="7" t="s">
        <v>182</v>
      </c>
      <c r="C21" s="7" t="s">
        <v>183</v>
      </c>
      <c r="D21" s="7" t="s">
        <v>149</v>
      </c>
      <c r="E21" s="7" t="s">
        <v>113</v>
      </c>
      <c r="F21" s="7" t="s">
        <v>113</v>
      </c>
      <c r="G21" s="7" t="s">
        <v>157</v>
      </c>
      <c r="H21" s="7" t="s">
        <v>157</v>
      </c>
      <c r="I21" s="7" t="s">
        <v>161</v>
      </c>
      <c r="J21" s="10" t="n">
        <v>0</v>
      </c>
      <c r="K21" s="10" t="n">
        <v>380</v>
      </c>
      <c r="L21" s="11"/>
      <c r="M21" s="12" t="s">
        <v>128</v>
      </c>
      <c r="N21" s="7" t="s">
        <v>129</v>
      </c>
      <c r="O21" s="10" t="n">
        <v>240</v>
      </c>
      <c r="P21" s="10" t="str">
        <f aca="false">IF(AND(ISNUMBER(J21),J21&gt;0),ROUND(J21*Assumptions!$B$4,2),"")</f>
        <v/>
      </c>
      <c r="Q21" s="7" t="str">
        <f aca="false">IF(AND(ISNUMBER(K21),ISNUMBER(O21)),IF(ROUND(K21*Assumptions!$B$4,2)=O21,"Equals 70%","Differs ("&amp;TEXT(O21/K21,"0%")&amp;" of B2C)"),"")</f>
        <v>Differs (63% of B2C)</v>
      </c>
      <c r="R21" s="7" t="s">
        <v>140</v>
      </c>
      <c r="S21" s="7" t="s">
        <v>131</v>
      </c>
      <c r="T21" s="7" t="s">
        <v>152</v>
      </c>
      <c r="U21" s="7" t="s">
        <v>120</v>
      </c>
      <c r="V21" s="7" t="s">
        <v>121</v>
      </c>
      <c r="W21" s="7" t="s">
        <v>133</v>
      </c>
      <c r="X21" s="7" t="s">
        <v>162</v>
      </c>
      <c r="Y21" s="7" t="s">
        <v>124</v>
      </c>
      <c r="Z21" s="7" t="s">
        <v>124</v>
      </c>
      <c r="AA21" s="7"/>
      <c r="AB21" s="7" t="s">
        <v>141</v>
      </c>
      <c r="AC21" s="7" t="n">
        <v>0</v>
      </c>
      <c r="AD21" s="7" t="n">
        <v>1</v>
      </c>
      <c r="AE21" s="7" t="n">
        <v>1</v>
      </c>
      <c r="AF21" s="7" t="n">
        <v>1</v>
      </c>
      <c r="AG21" s="7" t="n">
        <v>0</v>
      </c>
      <c r="AH21" s="7" t="n">
        <v>1</v>
      </c>
      <c r="AI21" s="7" t="n">
        <v>0</v>
      </c>
    </row>
    <row r="22" customFormat="false" ht="35.05" hidden="false" customHeight="false" outlineLevel="0" collapsed="false">
      <c r="A22" s="7" t="s">
        <v>184</v>
      </c>
      <c r="B22" s="7" t="s">
        <v>185</v>
      </c>
      <c r="C22" s="7" t="s">
        <v>186</v>
      </c>
      <c r="D22" s="7" t="s">
        <v>149</v>
      </c>
      <c r="E22" s="7" t="s">
        <v>113</v>
      </c>
      <c r="F22" s="7" t="s">
        <v>113</v>
      </c>
      <c r="G22" s="7" t="s">
        <v>157</v>
      </c>
      <c r="H22" s="7" t="s">
        <v>157</v>
      </c>
      <c r="I22" s="7" t="s">
        <v>161</v>
      </c>
      <c r="J22" s="10" t="n">
        <v>0</v>
      </c>
      <c r="K22" s="10" t="n">
        <v>160</v>
      </c>
      <c r="L22" s="11"/>
      <c r="M22" s="12" t="s">
        <v>128</v>
      </c>
      <c r="N22" s="7" t="s">
        <v>129</v>
      </c>
      <c r="O22" s="10" t="n">
        <v>95</v>
      </c>
      <c r="P22" s="10" t="str">
        <f aca="false">IF(AND(ISNUMBER(J22),J22&gt;0),ROUND(J22*Assumptions!$B$4,2),"")</f>
        <v/>
      </c>
      <c r="Q22" s="7" t="str">
        <f aca="false">IF(AND(ISNUMBER(K22),ISNUMBER(O22)),IF(ROUND(K22*Assumptions!$B$4,2)=O22,"Equals 70%","Differs ("&amp;TEXT(O22/K22,"0%")&amp;" of B2C)"),"")</f>
        <v>Differs (59% of B2C)</v>
      </c>
      <c r="R22" s="7" t="s">
        <v>140</v>
      </c>
      <c r="S22" s="7" t="s">
        <v>131</v>
      </c>
      <c r="T22" s="7" t="s">
        <v>152</v>
      </c>
      <c r="U22" s="7" t="s">
        <v>120</v>
      </c>
      <c r="V22" s="7" t="s">
        <v>121</v>
      </c>
      <c r="W22" s="7" t="s">
        <v>133</v>
      </c>
      <c r="X22" s="7" t="s">
        <v>162</v>
      </c>
      <c r="Y22" s="7" t="s">
        <v>124</v>
      </c>
      <c r="Z22" s="7" t="s">
        <v>124</v>
      </c>
      <c r="AA22" s="7"/>
      <c r="AB22" s="7" t="s">
        <v>141</v>
      </c>
      <c r="AC22" s="7" t="n">
        <v>0</v>
      </c>
      <c r="AD22" s="7" t="n">
        <v>1</v>
      </c>
      <c r="AE22" s="7" t="n">
        <v>1</v>
      </c>
      <c r="AF22" s="7" t="n">
        <v>1</v>
      </c>
      <c r="AG22" s="7" t="n">
        <v>0</v>
      </c>
      <c r="AH22" s="7" t="n">
        <v>1</v>
      </c>
      <c r="AI22" s="7" t="n">
        <v>0</v>
      </c>
    </row>
    <row r="23" customFormat="false" ht="35.05" hidden="false" customHeight="false" outlineLevel="0" collapsed="false">
      <c r="A23" s="7" t="s">
        <v>187</v>
      </c>
      <c r="B23" s="7"/>
      <c r="C23" s="7" t="s">
        <v>188</v>
      </c>
      <c r="D23" s="7" t="s">
        <v>149</v>
      </c>
      <c r="E23" s="7" t="s">
        <v>113</v>
      </c>
      <c r="F23" s="7" t="s">
        <v>113</v>
      </c>
      <c r="G23" s="7"/>
      <c r="H23" s="7" t="s">
        <v>157</v>
      </c>
      <c r="I23" s="7" t="s">
        <v>151</v>
      </c>
      <c r="J23" s="10"/>
      <c r="K23" s="10" t="n">
        <v>150</v>
      </c>
      <c r="L23" s="11"/>
      <c r="M23" s="7" t="s">
        <v>116</v>
      </c>
      <c r="N23" s="7" t="s">
        <v>117</v>
      </c>
      <c r="O23" s="10" t="n">
        <v>85</v>
      </c>
      <c r="P23" s="10" t="str">
        <f aca="false">IF(AND(ISNUMBER(J23),J23&gt;0),ROUND(J23*Assumptions!$B$4,2),"")</f>
        <v/>
      </c>
      <c r="Q23" s="7" t="str">
        <f aca="false">IF(AND(ISNUMBER(K23),ISNUMBER(O23)),IF(ROUND(K23*Assumptions!$B$4,2)=O23,"Equals 70%","Differs ("&amp;TEXT(O23/K23,"0%")&amp;" of B2C)"),"")</f>
        <v>Differs (57% of B2C)</v>
      </c>
      <c r="R23" s="7" t="s">
        <v>118</v>
      </c>
      <c r="S23" s="7"/>
      <c r="T23" s="7" t="s">
        <v>152</v>
      </c>
      <c r="U23" s="7" t="s">
        <v>120</v>
      </c>
      <c r="V23" s="7" t="s">
        <v>121</v>
      </c>
      <c r="W23" s="7" t="s">
        <v>117</v>
      </c>
      <c r="X23" s="7" t="s">
        <v>153</v>
      </c>
      <c r="Y23" s="7" t="s">
        <v>123</v>
      </c>
      <c r="Z23" s="7" t="s">
        <v>124</v>
      </c>
      <c r="AA23" s="7"/>
      <c r="AB23" s="7" t="s">
        <v>154</v>
      </c>
      <c r="AC23" s="7" t="n">
        <v>0</v>
      </c>
      <c r="AD23" s="7" t="n">
        <v>1</v>
      </c>
      <c r="AE23" s="7" t="n">
        <v>0</v>
      </c>
      <c r="AF23" s="7" t="n">
        <v>1</v>
      </c>
      <c r="AG23" s="7" t="n">
        <v>0</v>
      </c>
      <c r="AH23" s="7" t="n">
        <v>0</v>
      </c>
      <c r="AI23" s="7" t="n">
        <v>0</v>
      </c>
    </row>
    <row r="24" customFormat="false" ht="35.05" hidden="false" customHeight="false" outlineLevel="0" collapsed="false">
      <c r="A24" s="7" t="s">
        <v>189</v>
      </c>
      <c r="B24" s="7"/>
      <c r="C24" s="7" t="s">
        <v>190</v>
      </c>
      <c r="D24" s="7" t="s">
        <v>149</v>
      </c>
      <c r="E24" s="7" t="s">
        <v>113</v>
      </c>
      <c r="F24" s="7" t="s">
        <v>113</v>
      </c>
      <c r="G24" s="7"/>
      <c r="H24" s="7" t="s">
        <v>157</v>
      </c>
      <c r="I24" s="7" t="s">
        <v>151</v>
      </c>
      <c r="J24" s="10"/>
      <c r="K24" s="10" t="n">
        <v>240</v>
      </c>
      <c r="L24" s="11"/>
      <c r="M24" s="7" t="s">
        <v>116</v>
      </c>
      <c r="N24" s="7" t="s">
        <v>117</v>
      </c>
      <c r="O24" s="10" t="n">
        <v>140</v>
      </c>
      <c r="P24" s="10" t="str">
        <f aca="false">IF(AND(ISNUMBER(J24),J24&gt;0),ROUND(J24*Assumptions!$B$4,2),"")</f>
        <v/>
      </c>
      <c r="Q24" s="7" t="str">
        <f aca="false">IF(AND(ISNUMBER(K24),ISNUMBER(O24)),IF(ROUND(K24*Assumptions!$B$4,2)=O24,"Equals 70%","Differs ("&amp;TEXT(O24/K24,"0%")&amp;" of B2C)"),"")</f>
        <v>Differs (58% of B2C)</v>
      </c>
      <c r="R24" s="7" t="s">
        <v>118</v>
      </c>
      <c r="S24" s="7"/>
      <c r="T24" s="7" t="s">
        <v>152</v>
      </c>
      <c r="U24" s="7" t="s">
        <v>120</v>
      </c>
      <c r="V24" s="7" t="s">
        <v>121</v>
      </c>
      <c r="W24" s="7" t="s">
        <v>117</v>
      </c>
      <c r="X24" s="7" t="s">
        <v>153</v>
      </c>
      <c r="Y24" s="7" t="s">
        <v>123</v>
      </c>
      <c r="Z24" s="7" t="s">
        <v>124</v>
      </c>
      <c r="AA24" s="7"/>
      <c r="AB24" s="7" t="s">
        <v>154</v>
      </c>
      <c r="AC24" s="7" t="n">
        <v>0</v>
      </c>
      <c r="AD24" s="7" t="n">
        <v>1</v>
      </c>
      <c r="AE24" s="7" t="n">
        <v>0</v>
      </c>
      <c r="AF24" s="7" t="n">
        <v>1</v>
      </c>
      <c r="AG24" s="7" t="n">
        <v>0</v>
      </c>
      <c r="AH24" s="7" t="n">
        <v>0</v>
      </c>
      <c r="AI24" s="7" t="n">
        <v>0</v>
      </c>
    </row>
    <row r="25" customFormat="false" ht="35.05" hidden="false" customHeight="false" outlineLevel="0" collapsed="false">
      <c r="A25" s="7" t="s">
        <v>191</v>
      </c>
      <c r="B25" s="7"/>
      <c r="C25" s="7" t="s">
        <v>192</v>
      </c>
      <c r="D25" s="7" t="s">
        <v>149</v>
      </c>
      <c r="E25" s="7" t="s">
        <v>113</v>
      </c>
      <c r="F25" s="7" t="s">
        <v>113</v>
      </c>
      <c r="G25" s="7"/>
      <c r="H25" s="7" t="s">
        <v>157</v>
      </c>
      <c r="I25" s="7" t="s">
        <v>151</v>
      </c>
      <c r="J25" s="10"/>
      <c r="K25" s="10" t="n">
        <v>220</v>
      </c>
      <c r="L25" s="11"/>
      <c r="M25" s="7" t="s">
        <v>116</v>
      </c>
      <c r="N25" s="7" t="s">
        <v>117</v>
      </c>
      <c r="O25" s="10" t="n">
        <v>130</v>
      </c>
      <c r="P25" s="10" t="str">
        <f aca="false">IF(AND(ISNUMBER(J25),J25&gt;0),ROUND(J25*Assumptions!$B$4,2),"")</f>
        <v/>
      </c>
      <c r="Q25" s="7" t="str">
        <f aca="false">IF(AND(ISNUMBER(K25),ISNUMBER(O25)),IF(ROUND(K25*Assumptions!$B$4,2)=O25,"Equals 70%","Differs ("&amp;TEXT(O25/K25,"0%")&amp;" of B2C)"),"")</f>
        <v>Differs (59% of B2C)</v>
      </c>
      <c r="R25" s="7" t="s">
        <v>118</v>
      </c>
      <c r="S25" s="7"/>
      <c r="T25" s="7" t="s">
        <v>152</v>
      </c>
      <c r="U25" s="7" t="s">
        <v>120</v>
      </c>
      <c r="V25" s="7" t="s">
        <v>121</v>
      </c>
      <c r="W25" s="7" t="s">
        <v>117</v>
      </c>
      <c r="X25" s="7" t="s">
        <v>153</v>
      </c>
      <c r="Y25" s="7" t="s">
        <v>123</v>
      </c>
      <c r="Z25" s="7" t="s">
        <v>124</v>
      </c>
      <c r="AA25" s="7"/>
      <c r="AB25" s="7" t="s">
        <v>154</v>
      </c>
      <c r="AC25" s="7" t="n">
        <v>0</v>
      </c>
      <c r="AD25" s="7" t="n">
        <v>1</v>
      </c>
      <c r="AE25" s="7" t="n">
        <v>0</v>
      </c>
      <c r="AF25" s="7" t="n">
        <v>1</v>
      </c>
      <c r="AG25" s="7" t="n">
        <v>0</v>
      </c>
      <c r="AH25" s="7" t="n">
        <v>0</v>
      </c>
      <c r="AI25" s="7" t="n">
        <v>0</v>
      </c>
    </row>
    <row r="26" customFormat="false" ht="35.05" hidden="false" customHeight="false" outlineLevel="0" collapsed="false">
      <c r="A26" s="7" t="s">
        <v>193</v>
      </c>
      <c r="B26" s="7"/>
      <c r="C26" s="7" t="s">
        <v>194</v>
      </c>
      <c r="D26" s="7" t="s">
        <v>149</v>
      </c>
      <c r="E26" s="7" t="s">
        <v>113</v>
      </c>
      <c r="F26" s="7" t="s">
        <v>113</v>
      </c>
      <c r="G26" s="7"/>
      <c r="H26" s="7" t="s">
        <v>150</v>
      </c>
      <c r="I26" s="7" t="s">
        <v>151</v>
      </c>
      <c r="J26" s="10"/>
      <c r="K26" s="10" t="n">
        <v>220</v>
      </c>
      <c r="L26" s="11"/>
      <c r="M26" s="7" t="s">
        <v>116</v>
      </c>
      <c r="N26" s="7" t="s">
        <v>117</v>
      </c>
      <c r="O26" s="10" t="n">
        <v>130</v>
      </c>
      <c r="P26" s="10" t="str">
        <f aca="false">IF(AND(ISNUMBER(J26),J26&gt;0),ROUND(J26*Assumptions!$B$4,2),"")</f>
        <v/>
      </c>
      <c r="Q26" s="7" t="str">
        <f aca="false">IF(AND(ISNUMBER(K26),ISNUMBER(O26)),IF(ROUND(K26*Assumptions!$B$4,2)=O26,"Equals 70%","Differs ("&amp;TEXT(O26/K26,"0%")&amp;" of B2C)"),"")</f>
        <v>Differs (59% of B2C)</v>
      </c>
      <c r="R26" s="7" t="s">
        <v>118</v>
      </c>
      <c r="S26" s="7"/>
      <c r="T26" s="7" t="s">
        <v>152</v>
      </c>
      <c r="U26" s="7" t="s">
        <v>120</v>
      </c>
      <c r="V26" s="7" t="s">
        <v>121</v>
      </c>
      <c r="W26" s="7" t="s">
        <v>117</v>
      </c>
      <c r="X26" s="7" t="s">
        <v>153</v>
      </c>
      <c r="Y26" s="7" t="s">
        <v>123</v>
      </c>
      <c r="Z26" s="7" t="s">
        <v>124</v>
      </c>
      <c r="AA26" s="7"/>
      <c r="AB26" s="7" t="s">
        <v>154</v>
      </c>
      <c r="AC26" s="7" t="n">
        <v>0</v>
      </c>
      <c r="AD26" s="7" t="n">
        <v>1</v>
      </c>
      <c r="AE26" s="7" t="n">
        <v>0</v>
      </c>
      <c r="AF26" s="7" t="n">
        <v>1</v>
      </c>
      <c r="AG26" s="7" t="n">
        <v>0</v>
      </c>
      <c r="AH26" s="7" t="n">
        <v>0</v>
      </c>
      <c r="AI26" s="7" t="n">
        <v>0</v>
      </c>
    </row>
    <row r="27" customFormat="false" ht="35.05" hidden="false" customHeight="false" outlineLevel="0" collapsed="false">
      <c r="A27" s="7" t="s">
        <v>195</v>
      </c>
      <c r="B27" s="7"/>
      <c r="C27" s="7" t="s">
        <v>196</v>
      </c>
      <c r="D27" s="7" t="s">
        <v>149</v>
      </c>
      <c r="E27" s="7" t="s">
        <v>113</v>
      </c>
      <c r="F27" s="7" t="s">
        <v>113</v>
      </c>
      <c r="G27" s="7"/>
      <c r="H27" s="7" t="s">
        <v>157</v>
      </c>
      <c r="I27" s="7" t="s">
        <v>151</v>
      </c>
      <c r="J27" s="10"/>
      <c r="K27" s="10" t="n">
        <v>1950</v>
      </c>
      <c r="L27" s="11"/>
      <c r="M27" s="7" t="s">
        <v>116</v>
      </c>
      <c r="N27" s="7" t="s">
        <v>117</v>
      </c>
      <c r="O27" s="10" t="n">
        <v>1300</v>
      </c>
      <c r="P27" s="10" t="str">
        <f aca="false">IF(AND(ISNUMBER(J27),J27&gt;0),ROUND(J27*Assumptions!$B$4,2),"")</f>
        <v/>
      </c>
      <c r="Q27" s="7" t="str">
        <f aca="false">IF(AND(ISNUMBER(K27),ISNUMBER(O27)),IF(ROUND(K27*Assumptions!$B$4,2)=O27,"Equals 70%","Differs ("&amp;TEXT(O27/K27,"0%")&amp;" of B2C)"),"")</f>
        <v>Differs (67% of B2C)</v>
      </c>
      <c r="R27" s="7" t="s">
        <v>118</v>
      </c>
      <c r="S27" s="7"/>
      <c r="T27" s="7" t="s">
        <v>152</v>
      </c>
      <c r="U27" s="7" t="s">
        <v>120</v>
      </c>
      <c r="V27" s="7" t="s">
        <v>121</v>
      </c>
      <c r="W27" s="7" t="s">
        <v>117</v>
      </c>
      <c r="X27" s="7" t="s">
        <v>153</v>
      </c>
      <c r="Y27" s="7" t="s">
        <v>123</v>
      </c>
      <c r="Z27" s="7" t="s">
        <v>124</v>
      </c>
      <c r="AA27" s="7"/>
      <c r="AB27" s="7" t="s">
        <v>154</v>
      </c>
      <c r="AC27" s="7" t="n">
        <v>0</v>
      </c>
      <c r="AD27" s="7" t="n">
        <v>1</v>
      </c>
      <c r="AE27" s="7" t="n">
        <v>0</v>
      </c>
      <c r="AF27" s="7" t="n">
        <v>1</v>
      </c>
      <c r="AG27" s="7" t="n">
        <v>0</v>
      </c>
      <c r="AH27" s="7" t="n">
        <v>0</v>
      </c>
      <c r="AI27" s="7" t="n">
        <v>0</v>
      </c>
    </row>
    <row r="28" customFormat="false" ht="35.05" hidden="false" customHeight="false" outlineLevel="0" collapsed="false">
      <c r="A28" s="7" t="s">
        <v>197</v>
      </c>
      <c r="B28" s="7"/>
      <c r="C28" s="7" t="s">
        <v>198</v>
      </c>
      <c r="D28" s="7" t="s">
        <v>149</v>
      </c>
      <c r="E28" s="7" t="s">
        <v>113</v>
      </c>
      <c r="F28" s="7" t="s">
        <v>113</v>
      </c>
      <c r="G28" s="7"/>
      <c r="H28" s="7" t="s">
        <v>150</v>
      </c>
      <c r="I28" s="7" t="s">
        <v>151</v>
      </c>
      <c r="J28" s="10"/>
      <c r="K28" s="10" t="n">
        <v>420</v>
      </c>
      <c r="L28" s="11"/>
      <c r="M28" s="7" t="s">
        <v>116</v>
      </c>
      <c r="N28" s="7" t="s">
        <v>117</v>
      </c>
      <c r="O28" s="10" t="n">
        <v>260</v>
      </c>
      <c r="P28" s="10" t="str">
        <f aca="false">IF(AND(ISNUMBER(J28),J28&gt;0),ROUND(J28*Assumptions!$B$4,2),"")</f>
        <v/>
      </c>
      <c r="Q28" s="7" t="str">
        <f aca="false">IF(AND(ISNUMBER(K28),ISNUMBER(O28)),IF(ROUND(K28*Assumptions!$B$4,2)=O28,"Equals 70%","Differs ("&amp;TEXT(O28/K28,"0%")&amp;" of B2C)"),"")</f>
        <v>Differs (62% of B2C)</v>
      </c>
      <c r="R28" s="7" t="s">
        <v>118</v>
      </c>
      <c r="S28" s="7"/>
      <c r="T28" s="7" t="s">
        <v>152</v>
      </c>
      <c r="U28" s="7" t="s">
        <v>120</v>
      </c>
      <c r="V28" s="7" t="s">
        <v>121</v>
      </c>
      <c r="W28" s="7" t="s">
        <v>117</v>
      </c>
      <c r="X28" s="7" t="s">
        <v>153</v>
      </c>
      <c r="Y28" s="7" t="s">
        <v>123</v>
      </c>
      <c r="Z28" s="7" t="s">
        <v>124</v>
      </c>
      <c r="AA28" s="7"/>
      <c r="AB28" s="7" t="s">
        <v>154</v>
      </c>
      <c r="AC28" s="7" t="n">
        <v>0</v>
      </c>
      <c r="AD28" s="7" t="n">
        <v>1</v>
      </c>
      <c r="AE28" s="7" t="n">
        <v>0</v>
      </c>
      <c r="AF28" s="7" t="n">
        <v>1</v>
      </c>
      <c r="AG28" s="7" t="n">
        <v>0</v>
      </c>
      <c r="AH28" s="7" t="n">
        <v>0</v>
      </c>
      <c r="AI28" s="7" t="n">
        <v>0</v>
      </c>
    </row>
    <row r="29" customFormat="false" ht="35.05" hidden="false" customHeight="false" outlineLevel="0" collapsed="false">
      <c r="A29" s="7" t="s">
        <v>199</v>
      </c>
      <c r="B29" s="7"/>
      <c r="C29" s="7" t="s">
        <v>200</v>
      </c>
      <c r="D29" s="7" t="s">
        <v>149</v>
      </c>
      <c r="E29" s="7" t="s">
        <v>113</v>
      </c>
      <c r="F29" s="7" t="s">
        <v>113</v>
      </c>
      <c r="G29" s="7"/>
      <c r="H29" s="7" t="s">
        <v>157</v>
      </c>
      <c r="I29" s="7" t="s">
        <v>151</v>
      </c>
      <c r="J29" s="10"/>
      <c r="K29" s="10" t="n">
        <v>180</v>
      </c>
      <c r="L29" s="11"/>
      <c r="M29" s="7" t="s">
        <v>116</v>
      </c>
      <c r="N29" s="7" t="s">
        <v>117</v>
      </c>
      <c r="O29" s="10" t="n">
        <v>95</v>
      </c>
      <c r="P29" s="10" t="str">
        <f aca="false">IF(AND(ISNUMBER(J29),J29&gt;0),ROUND(J29*Assumptions!$B$4,2),"")</f>
        <v/>
      </c>
      <c r="Q29" s="7" t="str">
        <f aca="false">IF(AND(ISNUMBER(K29),ISNUMBER(O29)),IF(ROUND(K29*Assumptions!$B$4,2)=O29,"Equals 70%","Differs ("&amp;TEXT(O29/K29,"0%")&amp;" of B2C)"),"")</f>
        <v>Differs (53% of B2C)</v>
      </c>
      <c r="R29" s="7" t="s">
        <v>118</v>
      </c>
      <c r="S29" s="7"/>
      <c r="T29" s="7" t="s">
        <v>152</v>
      </c>
      <c r="U29" s="7" t="s">
        <v>120</v>
      </c>
      <c r="V29" s="7" t="s">
        <v>121</v>
      </c>
      <c r="W29" s="7" t="s">
        <v>117</v>
      </c>
      <c r="X29" s="7" t="s">
        <v>153</v>
      </c>
      <c r="Y29" s="7" t="s">
        <v>123</v>
      </c>
      <c r="Z29" s="7" t="s">
        <v>124</v>
      </c>
      <c r="AA29" s="7"/>
      <c r="AB29" s="7" t="s">
        <v>154</v>
      </c>
      <c r="AC29" s="7" t="n">
        <v>0</v>
      </c>
      <c r="AD29" s="7" t="n">
        <v>1</v>
      </c>
      <c r="AE29" s="7" t="n">
        <v>0</v>
      </c>
      <c r="AF29" s="7" t="n">
        <v>1</v>
      </c>
      <c r="AG29" s="7" t="n">
        <v>0</v>
      </c>
      <c r="AH29" s="7" t="n">
        <v>0</v>
      </c>
      <c r="AI29" s="7" t="n">
        <v>0</v>
      </c>
    </row>
    <row r="30" customFormat="false" ht="35.05" hidden="false" customHeight="false" outlineLevel="0" collapsed="false">
      <c r="A30" s="7" t="s">
        <v>201</v>
      </c>
      <c r="B30" s="7"/>
      <c r="C30" s="7" t="s">
        <v>202</v>
      </c>
      <c r="D30" s="7" t="s">
        <v>149</v>
      </c>
      <c r="E30" s="7" t="s">
        <v>113</v>
      </c>
      <c r="F30" s="7" t="s">
        <v>113</v>
      </c>
      <c r="G30" s="7"/>
      <c r="H30" s="7" t="s">
        <v>157</v>
      </c>
      <c r="I30" s="7" t="s">
        <v>151</v>
      </c>
      <c r="J30" s="10"/>
      <c r="K30" s="10" t="n">
        <v>1800</v>
      </c>
      <c r="L30" s="11"/>
      <c r="M30" s="7" t="s">
        <v>116</v>
      </c>
      <c r="N30" s="7" t="s">
        <v>117</v>
      </c>
      <c r="O30" s="10" t="n">
        <v>1200</v>
      </c>
      <c r="P30" s="10" t="str">
        <f aca="false">IF(AND(ISNUMBER(J30),J30&gt;0),ROUND(J30*Assumptions!$B$4,2),"")</f>
        <v/>
      </c>
      <c r="Q30" s="7" t="str">
        <f aca="false">IF(AND(ISNUMBER(K30),ISNUMBER(O30)),IF(ROUND(K30*Assumptions!$B$4,2)=O30,"Equals 70%","Differs ("&amp;TEXT(O30/K30,"0%")&amp;" of B2C)"),"")</f>
        <v>Differs (67% of B2C)</v>
      </c>
      <c r="R30" s="7" t="s">
        <v>118</v>
      </c>
      <c r="S30" s="7"/>
      <c r="T30" s="7" t="s">
        <v>152</v>
      </c>
      <c r="U30" s="7" t="s">
        <v>120</v>
      </c>
      <c r="V30" s="7" t="s">
        <v>121</v>
      </c>
      <c r="W30" s="7" t="s">
        <v>117</v>
      </c>
      <c r="X30" s="7" t="s">
        <v>153</v>
      </c>
      <c r="Y30" s="7" t="s">
        <v>123</v>
      </c>
      <c r="Z30" s="7" t="s">
        <v>124</v>
      </c>
      <c r="AA30" s="7"/>
      <c r="AB30" s="7" t="s">
        <v>154</v>
      </c>
      <c r="AC30" s="7" t="n">
        <v>0</v>
      </c>
      <c r="AD30" s="7" t="n">
        <v>1</v>
      </c>
      <c r="AE30" s="7" t="n">
        <v>0</v>
      </c>
      <c r="AF30" s="7" t="n">
        <v>1</v>
      </c>
      <c r="AG30" s="7" t="n">
        <v>0</v>
      </c>
      <c r="AH30" s="7" t="n">
        <v>0</v>
      </c>
      <c r="AI30" s="7" t="n">
        <v>0</v>
      </c>
    </row>
    <row r="31" customFormat="false" ht="35.05" hidden="false" customHeight="false" outlineLevel="0" collapsed="false">
      <c r="A31" s="7" t="s">
        <v>203</v>
      </c>
      <c r="B31" s="7" t="s">
        <v>204</v>
      </c>
      <c r="C31" s="7" t="s">
        <v>205</v>
      </c>
      <c r="D31" s="7" t="s">
        <v>206</v>
      </c>
      <c r="E31" s="7" t="s">
        <v>207</v>
      </c>
      <c r="F31" s="7" t="s">
        <v>207</v>
      </c>
      <c r="G31" s="7" t="s">
        <v>157</v>
      </c>
      <c r="H31" s="7" t="s">
        <v>208</v>
      </c>
      <c r="I31" s="12" t="s">
        <v>209</v>
      </c>
      <c r="J31" s="10" t="n">
        <v>900</v>
      </c>
      <c r="K31" s="10" t="n">
        <v>900</v>
      </c>
      <c r="L31" s="11"/>
      <c r="M31" s="7" t="s">
        <v>210</v>
      </c>
      <c r="N31" s="7" t="s">
        <v>129</v>
      </c>
      <c r="O31" s="10" t="n">
        <v>500</v>
      </c>
      <c r="P31" s="10" t="n">
        <f aca="false">IF(AND(ISNUMBER(J31),J31&gt;0),ROUND(J31*Assumptions!$B$4,2),"")</f>
        <v>630</v>
      </c>
      <c r="Q31" s="7" t="str">
        <f aca="false">IF(AND(ISNUMBER(K31),ISNUMBER(O31)),IF(ROUND(K31*Assumptions!$B$4,2)=O31,"Equals 70%","Differs ("&amp;TEXT(O31/K31,"0%")&amp;" of B2C)"),"")</f>
        <v>Differs (56% of B2C)</v>
      </c>
      <c r="R31" s="7" t="s">
        <v>211</v>
      </c>
      <c r="S31" s="7" t="s">
        <v>131</v>
      </c>
      <c r="T31" s="7" t="s">
        <v>212</v>
      </c>
      <c r="U31" s="7" t="s">
        <v>120</v>
      </c>
      <c r="V31" s="7" t="s">
        <v>121</v>
      </c>
      <c r="W31" s="7" t="s">
        <v>213</v>
      </c>
      <c r="X31" s="7" t="s">
        <v>214</v>
      </c>
      <c r="Y31" s="7" t="s">
        <v>124</v>
      </c>
      <c r="Z31" s="7" t="s">
        <v>124</v>
      </c>
      <c r="AA31" s="7"/>
      <c r="AB31" s="7" t="s">
        <v>215</v>
      </c>
      <c r="AC31" s="7" t="n">
        <v>1</v>
      </c>
      <c r="AD31" s="7" t="n">
        <v>1</v>
      </c>
      <c r="AE31" s="7" t="n">
        <v>1</v>
      </c>
      <c r="AF31" s="7" t="n">
        <v>1</v>
      </c>
      <c r="AG31" s="7" t="n">
        <v>0</v>
      </c>
      <c r="AH31" s="7" t="n">
        <v>0</v>
      </c>
      <c r="AI31" s="7" t="n">
        <v>0</v>
      </c>
    </row>
    <row r="32" customFormat="false" ht="35.05" hidden="false" customHeight="false" outlineLevel="0" collapsed="false">
      <c r="A32" s="7" t="s">
        <v>216</v>
      </c>
      <c r="B32" s="7"/>
      <c r="C32" s="7" t="s">
        <v>217</v>
      </c>
      <c r="D32" s="7" t="s">
        <v>206</v>
      </c>
      <c r="E32" s="7" t="s">
        <v>207</v>
      </c>
      <c r="F32" s="7" t="s">
        <v>207</v>
      </c>
      <c r="G32" s="7"/>
      <c r="H32" s="7" t="s">
        <v>208</v>
      </c>
      <c r="I32" s="12" t="s">
        <v>218</v>
      </c>
      <c r="J32" s="10"/>
      <c r="K32" s="10" t="n">
        <v>650</v>
      </c>
      <c r="L32" s="11"/>
      <c r="M32" s="7" t="s">
        <v>116</v>
      </c>
      <c r="N32" s="7" t="s">
        <v>117</v>
      </c>
      <c r="O32" s="10" t="n">
        <v>350</v>
      </c>
      <c r="P32" s="10" t="str">
        <f aca="false">IF(AND(ISNUMBER(J32),J32&gt;0),ROUND(J32*Assumptions!$B$4,2),"")</f>
        <v/>
      </c>
      <c r="Q32" s="7" t="str">
        <f aca="false">IF(AND(ISNUMBER(K32),ISNUMBER(O32)),IF(ROUND(K32*Assumptions!$B$4,2)=O32,"Equals 70%","Differs ("&amp;TEXT(O32/K32,"0%")&amp;" of B2C)"),"")</f>
        <v>Differs (54% of B2C)</v>
      </c>
      <c r="R32" s="7" t="s">
        <v>118</v>
      </c>
      <c r="S32" s="7"/>
      <c r="T32" s="7" t="s">
        <v>212</v>
      </c>
      <c r="U32" s="7" t="s">
        <v>120</v>
      </c>
      <c r="V32" s="7" t="s">
        <v>121</v>
      </c>
      <c r="W32" s="7" t="s">
        <v>117</v>
      </c>
      <c r="X32" s="7" t="s">
        <v>219</v>
      </c>
      <c r="Y32" s="7" t="s">
        <v>123</v>
      </c>
      <c r="Z32" s="7" t="s">
        <v>124</v>
      </c>
      <c r="AA32" s="7"/>
      <c r="AB32" s="7" t="s">
        <v>220</v>
      </c>
      <c r="AC32" s="7" t="n">
        <v>1</v>
      </c>
      <c r="AD32" s="7" t="n">
        <v>1</v>
      </c>
      <c r="AE32" s="7" t="n">
        <v>0</v>
      </c>
      <c r="AF32" s="7" t="n">
        <v>1</v>
      </c>
      <c r="AG32" s="7" t="n">
        <v>0</v>
      </c>
      <c r="AH32" s="7" t="n">
        <v>0</v>
      </c>
      <c r="AI32" s="7" t="n">
        <v>0</v>
      </c>
    </row>
    <row r="33" customFormat="false" ht="35.05" hidden="false" customHeight="false" outlineLevel="0" collapsed="false">
      <c r="A33" s="7" t="s">
        <v>221</v>
      </c>
      <c r="B33" s="7" t="s">
        <v>222</v>
      </c>
      <c r="C33" s="7" t="s">
        <v>223</v>
      </c>
      <c r="D33" s="7" t="s">
        <v>224</v>
      </c>
      <c r="E33" s="7" t="s">
        <v>113</v>
      </c>
      <c r="F33" s="7" t="s">
        <v>113</v>
      </c>
      <c r="G33" s="7" t="s">
        <v>225</v>
      </c>
      <c r="H33" s="7" t="s">
        <v>225</v>
      </c>
      <c r="I33" s="7" t="s">
        <v>226</v>
      </c>
      <c r="J33" s="10" t="n">
        <v>0</v>
      </c>
      <c r="K33" s="10" t="n">
        <v>1200</v>
      </c>
      <c r="L33" s="11"/>
      <c r="M33" s="12" t="s">
        <v>128</v>
      </c>
      <c r="N33" s="7" t="s">
        <v>129</v>
      </c>
      <c r="O33" s="10" t="n">
        <v>900</v>
      </c>
      <c r="P33" s="10" t="str">
        <f aca="false">IF(AND(ISNUMBER(J33),J33&gt;0),ROUND(J33*Assumptions!$B$4,2),"")</f>
        <v/>
      </c>
      <c r="Q33" s="7" t="str">
        <f aca="false">IF(AND(ISNUMBER(K33),ISNUMBER(O33)),IF(ROUND(K33*Assumptions!$B$4,2)=O33,"Equals 70%","Differs ("&amp;TEXT(O33/K33,"0%")&amp;" of B2C)"),"")</f>
        <v>Differs (75% of B2C)</v>
      </c>
      <c r="R33" s="7" t="s">
        <v>140</v>
      </c>
      <c r="S33" s="7" t="s">
        <v>131</v>
      </c>
      <c r="T33" s="7" t="s">
        <v>212</v>
      </c>
      <c r="U33" s="7" t="s">
        <v>120</v>
      </c>
      <c r="V33" s="7" t="s">
        <v>121</v>
      </c>
      <c r="W33" s="7" t="s">
        <v>133</v>
      </c>
      <c r="X33" s="7" t="s">
        <v>227</v>
      </c>
      <c r="Y33" s="7" t="s">
        <v>124</v>
      </c>
      <c r="Z33" s="7" t="s">
        <v>124</v>
      </c>
      <c r="AA33" s="7" t="s">
        <v>228</v>
      </c>
      <c r="AB33" s="7" t="s">
        <v>136</v>
      </c>
      <c r="AC33" s="7" t="n">
        <v>0</v>
      </c>
      <c r="AD33" s="7" t="n">
        <v>1</v>
      </c>
      <c r="AE33" s="7" t="n">
        <v>1</v>
      </c>
      <c r="AF33" s="7" t="n">
        <v>1</v>
      </c>
      <c r="AG33" s="7" t="n">
        <v>1</v>
      </c>
      <c r="AH33" s="7" t="n">
        <v>1</v>
      </c>
      <c r="AI33" s="7" t="n">
        <v>0</v>
      </c>
    </row>
    <row r="34" customFormat="false" ht="35.05" hidden="false" customHeight="false" outlineLevel="0" collapsed="false">
      <c r="A34" s="7" t="s">
        <v>229</v>
      </c>
      <c r="B34" s="7"/>
      <c r="C34" s="7" t="s">
        <v>230</v>
      </c>
      <c r="D34" s="7" t="s">
        <v>224</v>
      </c>
      <c r="E34" s="7" t="s">
        <v>113</v>
      </c>
      <c r="F34" s="7" t="s">
        <v>113</v>
      </c>
      <c r="G34" s="7"/>
      <c r="H34" s="7" t="s">
        <v>225</v>
      </c>
      <c r="I34" s="12" t="s">
        <v>231</v>
      </c>
      <c r="J34" s="10"/>
      <c r="K34" s="10" t="n">
        <v>2200</v>
      </c>
      <c r="L34" s="11"/>
      <c r="M34" s="7" t="s">
        <v>116</v>
      </c>
      <c r="N34" s="7" t="s">
        <v>117</v>
      </c>
      <c r="O34" s="10" t="n">
        <v>1650</v>
      </c>
      <c r="P34" s="10" t="str">
        <f aca="false">IF(AND(ISNUMBER(J34),J34&gt;0),ROUND(J34*Assumptions!$B$4,2),"")</f>
        <v/>
      </c>
      <c r="Q34" s="7" t="str">
        <f aca="false">IF(AND(ISNUMBER(K34),ISNUMBER(O34)),IF(ROUND(K34*Assumptions!$B$4,2)=O34,"Equals 70%","Differs ("&amp;TEXT(O34/K34,"0%")&amp;" of B2C)"),"")</f>
        <v>Differs (75% of B2C)</v>
      </c>
      <c r="R34" s="7" t="s">
        <v>118</v>
      </c>
      <c r="S34" s="7"/>
      <c r="T34" s="7" t="s">
        <v>212</v>
      </c>
      <c r="U34" s="7" t="s">
        <v>120</v>
      </c>
      <c r="V34" s="7" t="s">
        <v>121</v>
      </c>
      <c r="W34" s="7" t="s">
        <v>117</v>
      </c>
      <c r="X34" s="7" t="s">
        <v>232</v>
      </c>
      <c r="Y34" s="7" t="s">
        <v>123</v>
      </c>
      <c r="Z34" s="7" t="s">
        <v>124</v>
      </c>
      <c r="AA34" s="7" t="s">
        <v>228</v>
      </c>
      <c r="AB34" s="7" t="s">
        <v>233</v>
      </c>
      <c r="AC34" s="7" t="n">
        <v>1</v>
      </c>
      <c r="AD34" s="7" t="n">
        <v>1</v>
      </c>
      <c r="AE34" s="7" t="n">
        <v>0</v>
      </c>
      <c r="AF34" s="7" t="n">
        <v>1</v>
      </c>
      <c r="AG34" s="7" t="n">
        <v>1</v>
      </c>
      <c r="AH34" s="7" t="n">
        <v>0</v>
      </c>
      <c r="AI34" s="7" t="n">
        <v>0</v>
      </c>
    </row>
    <row r="35" customFormat="false" ht="23.85" hidden="false" customHeight="false" outlineLevel="0" collapsed="false">
      <c r="A35" s="7" t="s">
        <v>228</v>
      </c>
      <c r="B35" s="7" t="s">
        <v>234</v>
      </c>
      <c r="C35" s="7"/>
      <c r="D35" s="7" t="s">
        <v>224</v>
      </c>
      <c r="E35" s="7" t="s">
        <v>113</v>
      </c>
      <c r="F35" s="7"/>
      <c r="G35" s="7" t="s">
        <v>157</v>
      </c>
      <c r="H35" s="7"/>
      <c r="I35" s="7" t="s">
        <v>151</v>
      </c>
      <c r="J35" s="10" t="n">
        <v>0</v>
      </c>
      <c r="K35" s="10"/>
      <c r="L35" s="11"/>
      <c r="M35" s="12" t="s">
        <v>128</v>
      </c>
      <c r="N35" s="7" t="s">
        <v>129</v>
      </c>
      <c r="O35" s="10"/>
      <c r="P35" s="10" t="str">
        <f aca="false">IF(AND(ISNUMBER(J35),J35&gt;0),ROUND(J35*Assumptions!$B$4,2),"")</f>
        <v/>
      </c>
      <c r="Q35" s="7" t="str">
        <f aca="false">IF(AND(ISNUMBER(K35),ISNUMBER(O35)),IF(ROUND(K35*Assumptions!$B$4,2)=O35,"Equals 70%","Differs ("&amp;TEXT(O35/K35,"0%")&amp;" of B2C)"),"")</f>
        <v/>
      </c>
      <c r="R35" s="7" t="s">
        <v>130</v>
      </c>
      <c r="S35" s="7" t="s">
        <v>131</v>
      </c>
      <c r="T35" s="7"/>
      <c r="U35" s="7" t="s">
        <v>132</v>
      </c>
      <c r="V35" s="7" t="s">
        <v>121</v>
      </c>
      <c r="W35" s="7" t="s">
        <v>133</v>
      </c>
      <c r="X35" s="7" t="s">
        <v>227</v>
      </c>
      <c r="Y35" s="7" t="s">
        <v>124</v>
      </c>
      <c r="Z35" s="7" t="s">
        <v>123</v>
      </c>
      <c r="AA35" s="7" t="s">
        <v>235</v>
      </c>
      <c r="AB35" s="7" t="s">
        <v>136</v>
      </c>
      <c r="AC35" s="7" t="n">
        <v>0</v>
      </c>
      <c r="AD35" s="7" t="n">
        <v>1</v>
      </c>
      <c r="AE35" s="7" t="n">
        <v>1</v>
      </c>
      <c r="AF35" s="7" t="n">
        <v>1</v>
      </c>
      <c r="AG35" s="7" t="n">
        <v>1</v>
      </c>
      <c r="AH35" s="7" t="n">
        <v>1</v>
      </c>
      <c r="AI35" s="7" t="n">
        <v>0</v>
      </c>
    </row>
    <row r="36" customFormat="false" ht="35.05" hidden="false" customHeight="false" outlineLevel="0" collapsed="false">
      <c r="A36" s="7" t="s">
        <v>236</v>
      </c>
      <c r="B36" s="7" t="s">
        <v>237</v>
      </c>
      <c r="C36" s="7" t="s">
        <v>238</v>
      </c>
      <c r="D36" s="7" t="s">
        <v>239</v>
      </c>
      <c r="E36" s="7" t="s">
        <v>113</v>
      </c>
      <c r="F36" s="7" t="s">
        <v>113</v>
      </c>
      <c r="G36" s="7" t="s">
        <v>114</v>
      </c>
      <c r="H36" s="7" t="s">
        <v>114</v>
      </c>
      <c r="I36" s="7" t="s">
        <v>115</v>
      </c>
      <c r="J36" s="10" t="n">
        <v>0</v>
      </c>
      <c r="K36" s="10" t="n">
        <v>80</v>
      </c>
      <c r="L36" s="11"/>
      <c r="M36" s="12" t="s">
        <v>128</v>
      </c>
      <c r="N36" s="7" t="s">
        <v>129</v>
      </c>
      <c r="O36" s="10" t="n">
        <v>50</v>
      </c>
      <c r="P36" s="10" t="str">
        <f aca="false">IF(AND(ISNUMBER(J36),J36&gt;0),ROUND(J36*Assumptions!$B$4,2),"")</f>
        <v/>
      </c>
      <c r="Q36" s="7" t="str">
        <f aca="false">IF(AND(ISNUMBER(K36),ISNUMBER(O36)),IF(ROUND(K36*Assumptions!$B$4,2)=O36,"Equals 70%","Differs ("&amp;TEXT(O36/K36,"0%")&amp;" of B2C)"),"")</f>
        <v>Differs (63% of B2C)</v>
      </c>
      <c r="R36" s="7" t="s">
        <v>140</v>
      </c>
      <c r="S36" s="7" t="s">
        <v>131</v>
      </c>
      <c r="T36" s="7" t="s">
        <v>119</v>
      </c>
      <c r="U36" s="7" t="s">
        <v>120</v>
      </c>
      <c r="V36" s="7" t="s">
        <v>121</v>
      </c>
      <c r="W36" s="7" t="s">
        <v>133</v>
      </c>
      <c r="X36" s="7" t="s">
        <v>240</v>
      </c>
      <c r="Y36" s="7" t="s">
        <v>124</v>
      </c>
      <c r="Z36" s="7" t="s">
        <v>124</v>
      </c>
      <c r="AA36" s="7"/>
      <c r="AB36" s="7" t="s">
        <v>141</v>
      </c>
      <c r="AC36" s="7" t="n">
        <v>0</v>
      </c>
      <c r="AD36" s="7" t="n">
        <v>1</v>
      </c>
      <c r="AE36" s="7" t="n">
        <v>1</v>
      </c>
      <c r="AF36" s="7" t="n">
        <v>1</v>
      </c>
      <c r="AG36" s="7" t="n">
        <v>0</v>
      </c>
      <c r="AH36" s="7" t="n">
        <v>1</v>
      </c>
      <c r="AI36" s="7" t="n">
        <v>0</v>
      </c>
    </row>
    <row r="37" customFormat="false" ht="35.05" hidden="false" customHeight="false" outlineLevel="0" collapsed="false">
      <c r="A37" s="7" t="s">
        <v>241</v>
      </c>
      <c r="B37" s="7"/>
      <c r="C37" s="7" t="s">
        <v>242</v>
      </c>
      <c r="D37" s="7" t="s">
        <v>239</v>
      </c>
      <c r="E37" s="7" t="s">
        <v>113</v>
      </c>
      <c r="F37" s="7" t="s">
        <v>113</v>
      </c>
      <c r="G37" s="7"/>
      <c r="H37" s="7" t="s">
        <v>114</v>
      </c>
      <c r="I37" s="7" t="s">
        <v>115</v>
      </c>
      <c r="J37" s="10"/>
      <c r="K37" s="10" t="n">
        <v>320</v>
      </c>
      <c r="L37" s="11"/>
      <c r="M37" s="7" t="s">
        <v>116</v>
      </c>
      <c r="N37" s="7" t="s">
        <v>117</v>
      </c>
      <c r="O37" s="10" t="n">
        <v>210</v>
      </c>
      <c r="P37" s="10" t="str">
        <f aca="false">IF(AND(ISNUMBER(J37),J37&gt;0),ROUND(J37*Assumptions!$B$4,2),"")</f>
        <v/>
      </c>
      <c r="Q37" s="7" t="str">
        <f aca="false">IF(AND(ISNUMBER(K37),ISNUMBER(O37)),IF(ROUND(K37*Assumptions!$B$4,2)=O37,"Equals 70%","Differs ("&amp;TEXT(O37/K37,"0%")&amp;" of B2C)"),"")</f>
        <v>Differs (66% of B2C)</v>
      </c>
      <c r="R37" s="7" t="s">
        <v>118</v>
      </c>
      <c r="S37" s="7"/>
      <c r="T37" s="7" t="s">
        <v>152</v>
      </c>
      <c r="U37" s="7" t="s">
        <v>120</v>
      </c>
      <c r="V37" s="7" t="s">
        <v>121</v>
      </c>
      <c r="W37" s="7" t="s">
        <v>117</v>
      </c>
      <c r="X37" s="7" t="s">
        <v>243</v>
      </c>
      <c r="Y37" s="7" t="s">
        <v>123</v>
      </c>
      <c r="Z37" s="7" t="s">
        <v>124</v>
      </c>
      <c r="AA37" s="7" t="s">
        <v>244</v>
      </c>
      <c r="AB37" s="7" t="s">
        <v>126</v>
      </c>
      <c r="AC37" s="7" t="n">
        <v>0</v>
      </c>
      <c r="AD37" s="7" t="n">
        <v>1</v>
      </c>
      <c r="AE37" s="7" t="n">
        <v>0</v>
      </c>
      <c r="AF37" s="7" t="n">
        <v>1</v>
      </c>
      <c r="AG37" s="7" t="n">
        <v>1</v>
      </c>
      <c r="AH37" s="7" t="n">
        <v>0</v>
      </c>
      <c r="AI37" s="7" t="n">
        <v>0</v>
      </c>
    </row>
    <row r="38" customFormat="false" ht="35.05" hidden="false" customHeight="false" outlineLevel="0" collapsed="false">
      <c r="A38" s="7" t="s">
        <v>245</v>
      </c>
      <c r="B38" s="7" t="s">
        <v>246</v>
      </c>
      <c r="C38" s="7" t="s">
        <v>247</v>
      </c>
      <c r="D38" s="7" t="s">
        <v>239</v>
      </c>
      <c r="E38" s="7" t="s">
        <v>113</v>
      </c>
      <c r="F38" s="7" t="s">
        <v>113</v>
      </c>
      <c r="G38" s="7" t="s">
        <v>114</v>
      </c>
      <c r="H38" s="7" t="s">
        <v>114</v>
      </c>
      <c r="I38" s="7" t="s">
        <v>115</v>
      </c>
      <c r="J38" s="10" t="n">
        <v>0</v>
      </c>
      <c r="K38" s="10" t="n">
        <v>50</v>
      </c>
      <c r="L38" s="11"/>
      <c r="M38" s="12" t="s">
        <v>128</v>
      </c>
      <c r="N38" s="7" t="s">
        <v>129</v>
      </c>
      <c r="O38" s="10" t="n">
        <v>30</v>
      </c>
      <c r="P38" s="10" t="str">
        <f aca="false">IF(AND(ISNUMBER(J38),J38&gt;0),ROUND(J38*Assumptions!$B$4,2),"")</f>
        <v/>
      </c>
      <c r="Q38" s="7" t="str">
        <f aca="false">IF(AND(ISNUMBER(K38),ISNUMBER(O38)),IF(ROUND(K38*Assumptions!$B$4,2)=O38,"Equals 70%","Differs ("&amp;TEXT(O38/K38,"0%")&amp;" of B2C)"),"")</f>
        <v>Differs (60% of B2C)</v>
      </c>
      <c r="R38" s="7" t="s">
        <v>140</v>
      </c>
      <c r="S38" s="7" t="s">
        <v>131</v>
      </c>
      <c r="T38" s="7" t="s">
        <v>152</v>
      </c>
      <c r="U38" s="7" t="s">
        <v>120</v>
      </c>
      <c r="V38" s="7" t="s">
        <v>121</v>
      </c>
      <c r="W38" s="7" t="s">
        <v>133</v>
      </c>
      <c r="X38" s="7" t="s">
        <v>240</v>
      </c>
      <c r="Y38" s="7" t="s">
        <v>124</v>
      </c>
      <c r="Z38" s="7" t="s">
        <v>124</v>
      </c>
      <c r="AA38" s="7"/>
      <c r="AB38" s="7" t="s">
        <v>141</v>
      </c>
      <c r="AC38" s="7" t="n">
        <v>0</v>
      </c>
      <c r="AD38" s="7" t="n">
        <v>1</v>
      </c>
      <c r="AE38" s="7" t="n">
        <v>1</v>
      </c>
      <c r="AF38" s="7" t="n">
        <v>1</v>
      </c>
      <c r="AG38" s="7" t="n">
        <v>0</v>
      </c>
      <c r="AH38" s="7" t="n">
        <v>1</v>
      </c>
      <c r="AI38" s="7" t="n">
        <v>0</v>
      </c>
    </row>
    <row r="39" customFormat="false" ht="35.05" hidden="false" customHeight="false" outlineLevel="0" collapsed="false">
      <c r="A39" s="7" t="s">
        <v>248</v>
      </c>
      <c r="B39" s="7"/>
      <c r="C39" s="7" t="s">
        <v>249</v>
      </c>
      <c r="D39" s="7" t="s">
        <v>239</v>
      </c>
      <c r="E39" s="7" t="s">
        <v>113</v>
      </c>
      <c r="F39" s="7" t="s">
        <v>113</v>
      </c>
      <c r="G39" s="7"/>
      <c r="H39" s="7" t="s">
        <v>157</v>
      </c>
      <c r="I39" s="7" t="s">
        <v>151</v>
      </c>
      <c r="J39" s="10"/>
      <c r="K39" s="10" t="n">
        <v>950</v>
      </c>
      <c r="L39" s="11"/>
      <c r="M39" s="7" t="s">
        <v>116</v>
      </c>
      <c r="N39" s="7" t="s">
        <v>117</v>
      </c>
      <c r="O39" s="10" t="n">
        <v>620</v>
      </c>
      <c r="P39" s="10" t="str">
        <f aca="false">IF(AND(ISNUMBER(J39),J39&gt;0),ROUND(J39*Assumptions!$B$4,2),"")</f>
        <v/>
      </c>
      <c r="Q39" s="7" t="str">
        <f aca="false">IF(AND(ISNUMBER(K39),ISNUMBER(O39)),IF(ROUND(K39*Assumptions!$B$4,2)=O39,"Equals 70%","Differs ("&amp;TEXT(O39/K39,"0%")&amp;" of B2C)"),"")</f>
        <v>Differs (65% of B2C)</v>
      </c>
      <c r="R39" s="7" t="s">
        <v>118</v>
      </c>
      <c r="S39" s="7"/>
      <c r="T39" s="7" t="s">
        <v>152</v>
      </c>
      <c r="U39" s="7" t="s">
        <v>120</v>
      </c>
      <c r="V39" s="7" t="s">
        <v>121</v>
      </c>
      <c r="W39" s="7" t="s">
        <v>117</v>
      </c>
      <c r="X39" s="7" t="s">
        <v>243</v>
      </c>
      <c r="Y39" s="7" t="s">
        <v>123</v>
      </c>
      <c r="Z39" s="7" t="s">
        <v>124</v>
      </c>
      <c r="AA39" s="7"/>
      <c r="AB39" s="7" t="s">
        <v>154</v>
      </c>
      <c r="AC39" s="7" t="n">
        <v>0</v>
      </c>
      <c r="AD39" s="7" t="n">
        <v>1</v>
      </c>
      <c r="AE39" s="7" t="n">
        <v>0</v>
      </c>
      <c r="AF39" s="7" t="n">
        <v>1</v>
      </c>
      <c r="AG39" s="7" t="n">
        <v>0</v>
      </c>
      <c r="AH39" s="7" t="n">
        <v>0</v>
      </c>
      <c r="AI39" s="7" t="n">
        <v>0</v>
      </c>
    </row>
    <row r="40" customFormat="false" ht="35.05" hidden="false" customHeight="false" outlineLevel="0" collapsed="false">
      <c r="A40" s="7" t="s">
        <v>250</v>
      </c>
      <c r="B40" s="7" t="s">
        <v>251</v>
      </c>
      <c r="C40" s="7" t="s">
        <v>252</v>
      </c>
      <c r="D40" s="7" t="s">
        <v>239</v>
      </c>
      <c r="E40" s="7" t="s">
        <v>113</v>
      </c>
      <c r="F40" s="7" t="s">
        <v>113</v>
      </c>
      <c r="G40" s="7" t="s">
        <v>114</v>
      </c>
      <c r="H40" s="7" t="s">
        <v>114</v>
      </c>
      <c r="I40" s="7" t="s">
        <v>115</v>
      </c>
      <c r="J40" s="10" t="n">
        <v>0</v>
      </c>
      <c r="K40" s="10" t="n">
        <v>1200</v>
      </c>
      <c r="L40" s="11"/>
      <c r="M40" s="12" t="s">
        <v>128</v>
      </c>
      <c r="N40" s="7" t="s">
        <v>129</v>
      </c>
      <c r="O40" s="10" t="n">
        <v>800</v>
      </c>
      <c r="P40" s="10" t="str">
        <f aca="false">IF(AND(ISNUMBER(J40),J40&gt;0),ROUND(J40*Assumptions!$B$4,2),"")</f>
        <v/>
      </c>
      <c r="Q40" s="7" t="str">
        <f aca="false">IF(AND(ISNUMBER(K40),ISNUMBER(O40)),IF(ROUND(K40*Assumptions!$B$4,2)=O40,"Equals 70%","Differs ("&amp;TEXT(O40/K40,"0%")&amp;" of B2C)"),"")</f>
        <v>Differs (67% of B2C)</v>
      </c>
      <c r="R40" s="7" t="s">
        <v>140</v>
      </c>
      <c r="S40" s="7" t="s">
        <v>131</v>
      </c>
      <c r="T40" s="7" t="s">
        <v>152</v>
      </c>
      <c r="U40" s="7" t="s">
        <v>120</v>
      </c>
      <c r="V40" s="7" t="s">
        <v>121</v>
      </c>
      <c r="W40" s="7" t="s">
        <v>133</v>
      </c>
      <c r="X40" s="7" t="s">
        <v>240</v>
      </c>
      <c r="Y40" s="7" t="s">
        <v>124</v>
      </c>
      <c r="Z40" s="7" t="s">
        <v>124</v>
      </c>
      <c r="AA40" s="7"/>
      <c r="AB40" s="7" t="s">
        <v>141</v>
      </c>
      <c r="AC40" s="7" t="n">
        <v>0</v>
      </c>
      <c r="AD40" s="7" t="n">
        <v>1</v>
      </c>
      <c r="AE40" s="7" t="n">
        <v>1</v>
      </c>
      <c r="AF40" s="7" t="n">
        <v>1</v>
      </c>
      <c r="AG40" s="7" t="n">
        <v>0</v>
      </c>
      <c r="AH40" s="7" t="n">
        <v>1</v>
      </c>
      <c r="AI40" s="7" t="n">
        <v>0</v>
      </c>
    </row>
    <row r="41" customFormat="false" ht="35.05" hidden="false" customHeight="false" outlineLevel="0" collapsed="false">
      <c r="A41" s="7" t="s">
        <v>253</v>
      </c>
      <c r="B41" s="7" t="s">
        <v>254</v>
      </c>
      <c r="C41" s="7" t="s">
        <v>255</v>
      </c>
      <c r="D41" s="7" t="s">
        <v>239</v>
      </c>
      <c r="E41" s="7" t="s">
        <v>113</v>
      </c>
      <c r="F41" s="7" t="s">
        <v>113</v>
      </c>
      <c r="G41" s="7" t="s">
        <v>114</v>
      </c>
      <c r="H41" s="7" t="s">
        <v>114</v>
      </c>
      <c r="I41" s="7" t="s">
        <v>115</v>
      </c>
      <c r="J41" s="10" t="n">
        <v>0</v>
      </c>
      <c r="K41" s="10" t="n">
        <v>300</v>
      </c>
      <c r="L41" s="11"/>
      <c r="M41" s="12" t="s">
        <v>128</v>
      </c>
      <c r="N41" s="7" t="s">
        <v>129</v>
      </c>
      <c r="O41" s="10" t="n">
        <v>190</v>
      </c>
      <c r="P41" s="10" t="str">
        <f aca="false">IF(AND(ISNUMBER(J41),J41&gt;0),ROUND(J41*Assumptions!$B$4,2),"")</f>
        <v/>
      </c>
      <c r="Q41" s="7" t="str">
        <f aca="false">IF(AND(ISNUMBER(K41),ISNUMBER(O41)),IF(ROUND(K41*Assumptions!$B$4,2)=O41,"Equals 70%","Differs ("&amp;TEXT(O41/K41,"0%")&amp;" of B2C)"),"")</f>
        <v>Differs (63% of B2C)</v>
      </c>
      <c r="R41" s="7" t="s">
        <v>140</v>
      </c>
      <c r="S41" s="7" t="s">
        <v>131</v>
      </c>
      <c r="T41" s="7" t="s">
        <v>152</v>
      </c>
      <c r="U41" s="7" t="s">
        <v>120</v>
      </c>
      <c r="V41" s="7" t="s">
        <v>121</v>
      </c>
      <c r="W41" s="7" t="s">
        <v>133</v>
      </c>
      <c r="X41" s="7" t="s">
        <v>240</v>
      </c>
      <c r="Y41" s="7" t="s">
        <v>124</v>
      </c>
      <c r="Z41" s="7" t="s">
        <v>124</v>
      </c>
      <c r="AA41" s="7"/>
      <c r="AB41" s="7" t="s">
        <v>141</v>
      </c>
      <c r="AC41" s="7" t="n">
        <v>0</v>
      </c>
      <c r="AD41" s="7" t="n">
        <v>1</v>
      </c>
      <c r="AE41" s="7" t="n">
        <v>1</v>
      </c>
      <c r="AF41" s="7" t="n">
        <v>1</v>
      </c>
      <c r="AG41" s="7" t="n">
        <v>0</v>
      </c>
      <c r="AH41" s="7" t="n">
        <v>1</v>
      </c>
      <c r="AI41" s="7" t="n">
        <v>0</v>
      </c>
    </row>
    <row r="42" customFormat="false" ht="35.05" hidden="false" customHeight="false" outlineLevel="0" collapsed="false">
      <c r="A42" s="7" t="s">
        <v>256</v>
      </c>
      <c r="B42" s="7"/>
      <c r="C42" s="7" t="s">
        <v>257</v>
      </c>
      <c r="D42" s="7" t="s">
        <v>239</v>
      </c>
      <c r="E42" s="7" t="s">
        <v>113</v>
      </c>
      <c r="F42" s="7" t="s">
        <v>113</v>
      </c>
      <c r="G42" s="7"/>
      <c r="H42" s="7" t="s">
        <v>114</v>
      </c>
      <c r="I42" s="7" t="s">
        <v>115</v>
      </c>
      <c r="J42" s="10"/>
      <c r="K42" s="10" t="n">
        <v>60</v>
      </c>
      <c r="L42" s="11"/>
      <c r="M42" s="7" t="s">
        <v>116</v>
      </c>
      <c r="N42" s="7" t="s">
        <v>117</v>
      </c>
      <c r="O42" s="10" t="n">
        <v>35</v>
      </c>
      <c r="P42" s="10" t="str">
        <f aca="false">IF(AND(ISNUMBER(J42),J42&gt;0),ROUND(J42*Assumptions!$B$4,2),"")</f>
        <v/>
      </c>
      <c r="Q42" s="7" t="str">
        <f aca="false">IF(AND(ISNUMBER(K42),ISNUMBER(O42)),IF(ROUND(K42*Assumptions!$B$4,2)=O42,"Equals 70%","Differs ("&amp;TEXT(O42/K42,"0%")&amp;" of B2C)"),"")</f>
        <v>Differs (58% of B2C)</v>
      </c>
      <c r="R42" s="7" t="s">
        <v>118</v>
      </c>
      <c r="S42" s="7"/>
      <c r="T42" s="7" t="s">
        <v>152</v>
      </c>
      <c r="U42" s="7" t="s">
        <v>120</v>
      </c>
      <c r="V42" s="7" t="s">
        <v>121</v>
      </c>
      <c r="W42" s="7" t="s">
        <v>117</v>
      </c>
      <c r="X42" s="7" t="s">
        <v>243</v>
      </c>
      <c r="Y42" s="7" t="s">
        <v>123</v>
      </c>
      <c r="Z42" s="7" t="s">
        <v>124</v>
      </c>
      <c r="AA42" s="7"/>
      <c r="AB42" s="7" t="s">
        <v>154</v>
      </c>
      <c r="AC42" s="7" t="n">
        <v>0</v>
      </c>
      <c r="AD42" s="7" t="n">
        <v>1</v>
      </c>
      <c r="AE42" s="7" t="n">
        <v>0</v>
      </c>
      <c r="AF42" s="7" t="n">
        <v>1</v>
      </c>
      <c r="AG42" s="7" t="n">
        <v>0</v>
      </c>
      <c r="AH42" s="7" t="n">
        <v>0</v>
      </c>
      <c r="AI42" s="7" t="n">
        <v>0</v>
      </c>
    </row>
    <row r="43" customFormat="false" ht="23.85" hidden="false" customHeight="false" outlineLevel="0" collapsed="false">
      <c r="A43" s="7" t="s">
        <v>258</v>
      </c>
      <c r="B43" s="7" t="s">
        <v>259</v>
      </c>
      <c r="C43" s="7"/>
      <c r="D43" s="7" t="s">
        <v>239</v>
      </c>
      <c r="E43" s="7" t="s">
        <v>113</v>
      </c>
      <c r="F43" s="7"/>
      <c r="G43" s="7" t="s">
        <v>114</v>
      </c>
      <c r="H43" s="7"/>
      <c r="I43" s="7" t="s">
        <v>115</v>
      </c>
      <c r="J43" s="10" t="n">
        <v>0</v>
      </c>
      <c r="K43" s="10"/>
      <c r="L43" s="11"/>
      <c r="M43" s="12" t="s">
        <v>128</v>
      </c>
      <c r="N43" s="7" t="s">
        <v>129</v>
      </c>
      <c r="O43" s="10"/>
      <c r="P43" s="10" t="str">
        <f aca="false">IF(AND(ISNUMBER(J43),J43&gt;0),ROUND(J43*Assumptions!$B$4,2),"")</f>
        <v/>
      </c>
      <c r="Q43" s="7" t="str">
        <f aca="false">IF(AND(ISNUMBER(K43),ISNUMBER(O43)),IF(ROUND(K43*Assumptions!$B$4,2)=O43,"Equals 70%","Differs ("&amp;TEXT(O43/K43,"0%")&amp;" of B2C)"),"")</f>
        <v/>
      </c>
      <c r="R43" s="7" t="s">
        <v>130</v>
      </c>
      <c r="S43" s="7" t="s">
        <v>131</v>
      </c>
      <c r="T43" s="7"/>
      <c r="U43" s="7" t="s">
        <v>132</v>
      </c>
      <c r="V43" s="7" t="s">
        <v>121</v>
      </c>
      <c r="W43" s="7" t="s">
        <v>133</v>
      </c>
      <c r="X43" s="7" t="s">
        <v>240</v>
      </c>
      <c r="Y43" s="7" t="s">
        <v>124</v>
      </c>
      <c r="Z43" s="7" t="s">
        <v>123</v>
      </c>
      <c r="AA43" s="7" t="s">
        <v>260</v>
      </c>
      <c r="AB43" s="7" t="s">
        <v>136</v>
      </c>
      <c r="AC43" s="7" t="n">
        <v>0</v>
      </c>
      <c r="AD43" s="7" t="n">
        <v>1</v>
      </c>
      <c r="AE43" s="7" t="n">
        <v>1</v>
      </c>
      <c r="AF43" s="7" t="n">
        <v>1</v>
      </c>
      <c r="AG43" s="7" t="n">
        <v>1</v>
      </c>
      <c r="AH43" s="7" t="n">
        <v>1</v>
      </c>
      <c r="AI43" s="7" t="n">
        <v>0</v>
      </c>
    </row>
    <row r="44" customFormat="false" ht="35.05" hidden="false" customHeight="false" outlineLevel="0" collapsed="false">
      <c r="A44" s="7" t="s">
        <v>261</v>
      </c>
      <c r="B44" s="7"/>
      <c r="C44" s="7" t="s">
        <v>262</v>
      </c>
      <c r="D44" s="7" t="s">
        <v>239</v>
      </c>
      <c r="E44" s="7" t="s">
        <v>113</v>
      </c>
      <c r="F44" s="7" t="s">
        <v>113</v>
      </c>
      <c r="G44" s="7"/>
      <c r="H44" s="7" t="s">
        <v>114</v>
      </c>
      <c r="I44" s="7" t="s">
        <v>115</v>
      </c>
      <c r="J44" s="10"/>
      <c r="K44" s="10" t="n">
        <v>380</v>
      </c>
      <c r="L44" s="11"/>
      <c r="M44" s="7" t="s">
        <v>116</v>
      </c>
      <c r="N44" s="7" t="s">
        <v>117</v>
      </c>
      <c r="O44" s="10" t="n">
        <v>250</v>
      </c>
      <c r="P44" s="10" t="str">
        <f aca="false">IF(AND(ISNUMBER(J44),J44&gt;0),ROUND(J44*Assumptions!$B$4,2),"")</f>
        <v/>
      </c>
      <c r="Q44" s="7" t="str">
        <f aca="false">IF(AND(ISNUMBER(K44),ISNUMBER(O44)),IF(ROUND(K44*Assumptions!$B$4,2)=O44,"Equals 70%","Differs ("&amp;TEXT(O44/K44,"0%")&amp;" of B2C)"),"")</f>
        <v>Differs (66% of B2C)</v>
      </c>
      <c r="R44" s="7" t="s">
        <v>118</v>
      </c>
      <c r="S44" s="7"/>
      <c r="T44" s="7" t="s">
        <v>152</v>
      </c>
      <c r="U44" s="7" t="s">
        <v>120</v>
      </c>
      <c r="V44" s="7" t="s">
        <v>121</v>
      </c>
      <c r="W44" s="7" t="s">
        <v>117</v>
      </c>
      <c r="X44" s="7" t="s">
        <v>243</v>
      </c>
      <c r="Y44" s="7" t="s">
        <v>123</v>
      </c>
      <c r="Z44" s="7" t="s">
        <v>124</v>
      </c>
      <c r="AA44" s="7" t="s">
        <v>258</v>
      </c>
      <c r="AB44" s="7" t="s">
        <v>126</v>
      </c>
      <c r="AC44" s="7" t="n">
        <v>0</v>
      </c>
      <c r="AD44" s="7" t="n">
        <v>1</v>
      </c>
      <c r="AE44" s="7" t="n">
        <v>0</v>
      </c>
      <c r="AF44" s="7" t="n">
        <v>1</v>
      </c>
      <c r="AG44" s="7" t="n">
        <v>1</v>
      </c>
      <c r="AH44" s="7" t="n">
        <v>0</v>
      </c>
      <c r="AI44" s="7" t="n">
        <v>0</v>
      </c>
    </row>
    <row r="45" customFormat="false" ht="35.05" hidden="false" customHeight="false" outlineLevel="0" collapsed="false">
      <c r="A45" s="7" t="s">
        <v>263</v>
      </c>
      <c r="B45" s="7"/>
      <c r="C45" s="7" t="s">
        <v>264</v>
      </c>
      <c r="D45" s="7" t="s">
        <v>239</v>
      </c>
      <c r="E45" s="7" t="s">
        <v>113</v>
      </c>
      <c r="F45" s="7" t="s">
        <v>113</v>
      </c>
      <c r="G45" s="7"/>
      <c r="H45" s="7" t="s">
        <v>114</v>
      </c>
      <c r="I45" s="7" t="s">
        <v>115</v>
      </c>
      <c r="J45" s="10"/>
      <c r="K45" s="10" t="n">
        <v>200</v>
      </c>
      <c r="L45" s="11"/>
      <c r="M45" s="7" t="s">
        <v>116</v>
      </c>
      <c r="N45" s="7" t="s">
        <v>117</v>
      </c>
      <c r="O45" s="10" t="n">
        <v>130</v>
      </c>
      <c r="P45" s="10" t="str">
        <f aca="false">IF(AND(ISNUMBER(J45),J45&gt;0),ROUND(J45*Assumptions!$B$4,2),"")</f>
        <v/>
      </c>
      <c r="Q45" s="7" t="str">
        <f aca="false">IF(AND(ISNUMBER(K45),ISNUMBER(O45)),IF(ROUND(K45*Assumptions!$B$4,2)=O45,"Equals 70%","Differs ("&amp;TEXT(O45/K45,"0%")&amp;" of B2C)"),"")</f>
        <v>Differs (65% of B2C)</v>
      </c>
      <c r="R45" s="7" t="s">
        <v>118</v>
      </c>
      <c r="S45" s="7"/>
      <c r="T45" s="7" t="s">
        <v>152</v>
      </c>
      <c r="U45" s="7" t="s">
        <v>120</v>
      </c>
      <c r="V45" s="7" t="s">
        <v>121</v>
      </c>
      <c r="W45" s="7" t="s">
        <v>117</v>
      </c>
      <c r="X45" s="7" t="s">
        <v>243</v>
      </c>
      <c r="Y45" s="7" t="s">
        <v>123</v>
      </c>
      <c r="Z45" s="7" t="s">
        <v>124</v>
      </c>
      <c r="AA45" s="7" t="s">
        <v>258</v>
      </c>
      <c r="AB45" s="7" t="s">
        <v>126</v>
      </c>
      <c r="AC45" s="7" t="n">
        <v>0</v>
      </c>
      <c r="AD45" s="7" t="n">
        <v>1</v>
      </c>
      <c r="AE45" s="7" t="n">
        <v>0</v>
      </c>
      <c r="AF45" s="7" t="n">
        <v>1</v>
      </c>
      <c r="AG45" s="7" t="n">
        <v>1</v>
      </c>
      <c r="AH45" s="7" t="n">
        <v>0</v>
      </c>
      <c r="AI45" s="7" t="n">
        <v>0</v>
      </c>
    </row>
    <row r="46" customFormat="false" ht="23.85" hidden="false" customHeight="false" outlineLevel="0" collapsed="false">
      <c r="A46" s="7" t="s">
        <v>265</v>
      </c>
      <c r="B46" s="7" t="s">
        <v>266</v>
      </c>
      <c r="C46" s="7"/>
      <c r="D46" s="7" t="s">
        <v>239</v>
      </c>
      <c r="E46" s="7" t="s">
        <v>113</v>
      </c>
      <c r="F46" s="7"/>
      <c r="G46" s="7" t="s">
        <v>114</v>
      </c>
      <c r="H46" s="7"/>
      <c r="I46" s="7" t="s">
        <v>115</v>
      </c>
      <c r="J46" s="10" t="n">
        <v>0</v>
      </c>
      <c r="K46" s="10"/>
      <c r="L46" s="11"/>
      <c r="M46" s="12" t="s">
        <v>128</v>
      </c>
      <c r="N46" s="7" t="s">
        <v>129</v>
      </c>
      <c r="O46" s="10"/>
      <c r="P46" s="10" t="str">
        <f aca="false">IF(AND(ISNUMBER(J46),J46&gt;0),ROUND(J46*Assumptions!$B$4,2),"")</f>
        <v/>
      </c>
      <c r="Q46" s="7" t="str">
        <f aca="false">IF(AND(ISNUMBER(K46),ISNUMBER(O46)),IF(ROUND(K46*Assumptions!$B$4,2)=O46,"Equals 70%","Differs ("&amp;TEXT(O46/K46,"0%")&amp;" of B2C)"),"")</f>
        <v/>
      </c>
      <c r="R46" s="7" t="s">
        <v>130</v>
      </c>
      <c r="S46" s="7" t="s">
        <v>131</v>
      </c>
      <c r="T46" s="7"/>
      <c r="U46" s="7" t="s">
        <v>132</v>
      </c>
      <c r="V46" s="7" t="s">
        <v>121</v>
      </c>
      <c r="W46" s="7" t="s">
        <v>133</v>
      </c>
      <c r="X46" s="7" t="s">
        <v>240</v>
      </c>
      <c r="Y46" s="7" t="s">
        <v>124</v>
      </c>
      <c r="Z46" s="7" t="s">
        <v>123</v>
      </c>
      <c r="AA46" s="7" t="s">
        <v>267</v>
      </c>
      <c r="AB46" s="7" t="s">
        <v>136</v>
      </c>
      <c r="AC46" s="7" t="n">
        <v>0</v>
      </c>
      <c r="AD46" s="7" t="n">
        <v>1</v>
      </c>
      <c r="AE46" s="7" t="n">
        <v>1</v>
      </c>
      <c r="AF46" s="7" t="n">
        <v>1</v>
      </c>
      <c r="AG46" s="7" t="n">
        <v>1</v>
      </c>
      <c r="AH46" s="7" t="n">
        <v>1</v>
      </c>
      <c r="AI46" s="7" t="n">
        <v>0</v>
      </c>
    </row>
    <row r="47" customFormat="false" ht="35.05" hidden="false" customHeight="false" outlineLevel="0" collapsed="false">
      <c r="A47" s="7" t="s">
        <v>268</v>
      </c>
      <c r="B47" s="7"/>
      <c r="C47" s="7" t="s">
        <v>269</v>
      </c>
      <c r="D47" s="7" t="s">
        <v>239</v>
      </c>
      <c r="E47" s="7" t="s">
        <v>113</v>
      </c>
      <c r="F47" s="7" t="s">
        <v>113</v>
      </c>
      <c r="G47" s="7"/>
      <c r="H47" s="7" t="s">
        <v>114</v>
      </c>
      <c r="I47" s="7" t="s">
        <v>115</v>
      </c>
      <c r="J47" s="10"/>
      <c r="K47" s="10" t="n">
        <v>80</v>
      </c>
      <c r="L47" s="11"/>
      <c r="M47" s="7" t="s">
        <v>116</v>
      </c>
      <c r="N47" s="7" t="s">
        <v>117</v>
      </c>
      <c r="O47" s="10" t="n">
        <v>50</v>
      </c>
      <c r="P47" s="10" t="str">
        <f aca="false">IF(AND(ISNUMBER(J47),J47&gt;0),ROUND(J47*Assumptions!$B$4,2),"")</f>
        <v/>
      </c>
      <c r="Q47" s="7" t="str">
        <f aca="false">IF(AND(ISNUMBER(K47),ISNUMBER(O47)),IF(ROUND(K47*Assumptions!$B$4,2)=O47,"Equals 70%","Differs ("&amp;TEXT(O47/K47,"0%")&amp;" of B2C)"),"")</f>
        <v>Differs (63% of B2C)</v>
      </c>
      <c r="R47" s="7" t="s">
        <v>118</v>
      </c>
      <c r="S47" s="7"/>
      <c r="T47" s="7" t="s">
        <v>152</v>
      </c>
      <c r="U47" s="7" t="s">
        <v>120</v>
      </c>
      <c r="V47" s="7" t="s">
        <v>121</v>
      </c>
      <c r="W47" s="7" t="s">
        <v>117</v>
      </c>
      <c r="X47" s="7" t="s">
        <v>243</v>
      </c>
      <c r="Y47" s="7" t="s">
        <v>123</v>
      </c>
      <c r="Z47" s="7" t="s">
        <v>124</v>
      </c>
      <c r="AA47" s="7" t="s">
        <v>265</v>
      </c>
      <c r="AB47" s="7" t="s">
        <v>126</v>
      </c>
      <c r="AC47" s="7" t="n">
        <v>0</v>
      </c>
      <c r="AD47" s="7" t="n">
        <v>1</v>
      </c>
      <c r="AE47" s="7" t="n">
        <v>0</v>
      </c>
      <c r="AF47" s="7" t="n">
        <v>1</v>
      </c>
      <c r="AG47" s="7" t="n">
        <v>1</v>
      </c>
      <c r="AH47" s="7" t="n">
        <v>0</v>
      </c>
      <c r="AI47" s="7" t="n">
        <v>0</v>
      </c>
    </row>
    <row r="48" customFormat="false" ht="35.05" hidden="false" customHeight="false" outlineLevel="0" collapsed="false">
      <c r="A48" s="7" t="s">
        <v>270</v>
      </c>
      <c r="B48" s="7"/>
      <c r="C48" s="7" t="s">
        <v>271</v>
      </c>
      <c r="D48" s="7" t="s">
        <v>239</v>
      </c>
      <c r="E48" s="7" t="s">
        <v>113</v>
      </c>
      <c r="F48" s="7" t="s">
        <v>113</v>
      </c>
      <c r="G48" s="7"/>
      <c r="H48" s="7" t="s">
        <v>114</v>
      </c>
      <c r="I48" s="7" t="s">
        <v>115</v>
      </c>
      <c r="J48" s="10"/>
      <c r="K48" s="10" t="n">
        <v>120</v>
      </c>
      <c r="L48" s="11"/>
      <c r="M48" s="7" t="s">
        <v>116</v>
      </c>
      <c r="N48" s="7" t="s">
        <v>117</v>
      </c>
      <c r="O48" s="10" t="n">
        <v>75</v>
      </c>
      <c r="P48" s="10" t="str">
        <f aca="false">IF(AND(ISNUMBER(J48),J48&gt;0),ROUND(J48*Assumptions!$B$4,2),"")</f>
        <v/>
      </c>
      <c r="Q48" s="7" t="str">
        <f aca="false">IF(AND(ISNUMBER(K48),ISNUMBER(O48)),IF(ROUND(K48*Assumptions!$B$4,2)=O48,"Equals 70%","Differs ("&amp;TEXT(O48/K48,"0%")&amp;" of B2C)"),"")</f>
        <v>Differs (63% of B2C)</v>
      </c>
      <c r="R48" s="7" t="s">
        <v>118</v>
      </c>
      <c r="S48" s="7"/>
      <c r="T48" s="7" t="s">
        <v>152</v>
      </c>
      <c r="U48" s="7" t="s">
        <v>120</v>
      </c>
      <c r="V48" s="7" t="s">
        <v>121</v>
      </c>
      <c r="W48" s="7" t="s">
        <v>117</v>
      </c>
      <c r="X48" s="7" t="s">
        <v>243</v>
      </c>
      <c r="Y48" s="7" t="s">
        <v>123</v>
      </c>
      <c r="Z48" s="7" t="s">
        <v>124</v>
      </c>
      <c r="AA48" s="7" t="s">
        <v>265</v>
      </c>
      <c r="AB48" s="7" t="s">
        <v>126</v>
      </c>
      <c r="AC48" s="7" t="n">
        <v>0</v>
      </c>
      <c r="AD48" s="7" t="n">
        <v>1</v>
      </c>
      <c r="AE48" s="7" t="n">
        <v>0</v>
      </c>
      <c r="AF48" s="7" t="n">
        <v>1</v>
      </c>
      <c r="AG48" s="7" t="n">
        <v>1</v>
      </c>
      <c r="AH48" s="7" t="n">
        <v>0</v>
      </c>
      <c r="AI48" s="7" t="n">
        <v>0</v>
      </c>
    </row>
    <row r="49" customFormat="false" ht="35.05" hidden="false" customHeight="false" outlineLevel="0" collapsed="false">
      <c r="A49" s="7" t="s">
        <v>272</v>
      </c>
      <c r="B49" s="7"/>
      <c r="C49" s="7" t="s">
        <v>273</v>
      </c>
      <c r="D49" s="7" t="s">
        <v>239</v>
      </c>
      <c r="E49" s="7" t="s">
        <v>113</v>
      </c>
      <c r="F49" s="7" t="s">
        <v>113</v>
      </c>
      <c r="G49" s="7"/>
      <c r="H49" s="7" t="s">
        <v>157</v>
      </c>
      <c r="I49" s="7" t="s">
        <v>151</v>
      </c>
      <c r="J49" s="10"/>
      <c r="K49" s="10" t="n">
        <v>750</v>
      </c>
      <c r="L49" s="11"/>
      <c r="M49" s="7" t="s">
        <v>116</v>
      </c>
      <c r="N49" s="7" t="s">
        <v>117</v>
      </c>
      <c r="O49" s="10" t="n">
        <v>500</v>
      </c>
      <c r="P49" s="10" t="str">
        <f aca="false">IF(AND(ISNUMBER(J49),J49&gt;0),ROUND(J49*Assumptions!$B$4,2),"")</f>
        <v/>
      </c>
      <c r="Q49" s="7" t="str">
        <f aca="false">IF(AND(ISNUMBER(K49),ISNUMBER(O49)),IF(ROUND(K49*Assumptions!$B$4,2)=O49,"Equals 70%","Differs ("&amp;TEXT(O49/K49,"0%")&amp;" of B2C)"),"")</f>
        <v>Differs (67% of B2C)</v>
      </c>
      <c r="R49" s="7" t="s">
        <v>118</v>
      </c>
      <c r="S49" s="7"/>
      <c r="T49" s="7" t="s">
        <v>152</v>
      </c>
      <c r="U49" s="7" t="s">
        <v>120</v>
      </c>
      <c r="V49" s="7" t="s">
        <v>121</v>
      </c>
      <c r="W49" s="7" t="s">
        <v>117</v>
      </c>
      <c r="X49" s="7" t="s">
        <v>243</v>
      </c>
      <c r="Y49" s="7" t="s">
        <v>123</v>
      </c>
      <c r="Z49" s="7" t="s">
        <v>124</v>
      </c>
      <c r="AA49" s="7"/>
      <c r="AB49" s="7" t="s">
        <v>154</v>
      </c>
      <c r="AC49" s="7" t="n">
        <v>0</v>
      </c>
      <c r="AD49" s="7" t="n">
        <v>1</v>
      </c>
      <c r="AE49" s="7" t="n">
        <v>0</v>
      </c>
      <c r="AF49" s="7" t="n">
        <v>1</v>
      </c>
      <c r="AG49" s="7" t="n">
        <v>0</v>
      </c>
      <c r="AH49" s="7" t="n">
        <v>0</v>
      </c>
      <c r="AI49" s="7" t="n">
        <v>0</v>
      </c>
    </row>
    <row r="50" customFormat="false" ht="35.05" hidden="false" customHeight="false" outlineLevel="0" collapsed="false">
      <c r="A50" s="7" t="s">
        <v>274</v>
      </c>
      <c r="B50" s="7"/>
      <c r="C50" s="7" t="s">
        <v>275</v>
      </c>
      <c r="D50" s="7" t="s">
        <v>239</v>
      </c>
      <c r="E50" s="7" t="s">
        <v>113</v>
      </c>
      <c r="F50" s="7" t="s">
        <v>113</v>
      </c>
      <c r="G50" s="7"/>
      <c r="H50" s="7" t="s">
        <v>114</v>
      </c>
      <c r="I50" s="7" t="s">
        <v>115</v>
      </c>
      <c r="J50" s="10"/>
      <c r="K50" s="10" t="n">
        <v>400</v>
      </c>
      <c r="L50" s="11"/>
      <c r="M50" s="7" t="s">
        <v>116</v>
      </c>
      <c r="N50" s="7" t="s">
        <v>117</v>
      </c>
      <c r="O50" s="10" t="n">
        <v>260</v>
      </c>
      <c r="P50" s="10" t="str">
        <f aca="false">IF(AND(ISNUMBER(J50),J50&gt;0),ROUND(J50*Assumptions!$B$4,2),"")</f>
        <v/>
      </c>
      <c r="Q50" s="7" t="str">
        <f aca="false">IF(AND(ISNUMBER(K50),ISNUMBER(O50)),IF(ROUND(K50*Assumptions!$B$4,2)=O50,"Equals 70%","Differs ("&amp;TEXT(O50/K50,"0%")&amp;" of B2C)"),"")</f>
        <v>Differs (65% of B2C)</v>
      </c>
      <c r="R50" s="7" t="s">
        <v>118</v>
      </c>
      <c r="S50" s="7"/>
      <c r="T50" s="7" t="s">
        <v>119</v>
      </c>
      <c r="U50" s="7" t="s">
        <v>120</v>
      </c>
      <c r="V50" s="7" t="s">
        <v>121</v>
      </c>
      <c r="W50" s="7" t="s">
        <v>117</v>
      </c>
      <c r="X50" s="7" t="s">
        <v>243</v>
      </c>
      <c r="Y50" s="7" t="s">
        <v>123</v>
      </c>
      <c r="Z50" s="7" t="s">
        <v>124</v>
      </c>
      <c r="AA50" s="7"/>
      <c r="AB50" s="7" t="s">
        <v>154</v>
      </c>
      <c r="AC50" s="7" t="n">
        <v>0</v>
      </c>
      <c r="AD50" s="7" t="n">
        <v>1</v>
      </c>
      <c r="AE50" s="7" t="n">
        <v>0</v>
      </c>
      <c r="AF50" s="7" t="n">
        <v>1</v>
      </c>
      <c r="AG50" s="7" t="n">
        <v>0</v>
      </c>
      <c r="AH50" s="7" t="n">
        <v>0</v>
      </c>
      <c r="AI50" s="7" t="n">
        <v>0</v>
      </c>
    </row>
    <row r="51" customFormat="false" ht="35.05" hidden="false" customHeight="false" outlineLevel="0" collapsed="false">
      <c r="A51" s="7" t="s">
        <v>276</v>
      </c>
      <c r="B51" s="7" t="s">
        <v>277</v>
      </c>
      <c r="C51" s="7" t="s">
        <v>278</v>
      </c>
      <c r="D51" s="7" t="s">
        <v>239</v>
      </c>
      <c r="E51" s="7" t="s">
        <v>113</v>
      </c>
      <c r="F51" s="7" t="s">
        <v>113</v>
      </c>
      <c r="G51" s="7" t="s">
        <v>114</v>
      </c>
      <c r="H51" s="7" t="s">
        <v>114</v>
      </c>
      <c r="I51" s="7" t="s">
        <v>115</v>
      </c>
      <c r="J51" s="10" t="n">
        <v>0</v>
      </c>
      <c r="K51" s="10" t="n">
        <v>40</v>
      </c>
      <c r="L51" s="11"/>
      <c r="M51" s="12" t="s">
        <v>128</v>
      </c>
      <c r="N51" s="7" t="s">
        <v>129</v>
      </c>
      <c r="O51" s="10" t="n">
        <v>25</v>
      </c>
      <c r="P51" s="10" t="str">
        <f aca="false">IF(AND(ISNUMBER(J51),J51&gt;0),ROUND(J51*Assumptions!$B$4,2),"")</f>
        <v/>
      </c>
      <c r="Q51" s="7" t="str">
        <f aca="false">IF(AND(ISNUMBER(K51),ISNUMBER(O51)),IF(ROUND(K51*Assumptions!$B$4,2)=O51,"Equals 70%","Differs ("&amp;TEXT(O51/K51,"0%")&amp;" of B2C)"),"")</f>
        <v>Differs (63% of B2C)</v>
      </c>
      <c r="R51" s="7" t="s">
        <v>140</v>
      </c>
      <c r="S51" s="7" t="s">
        <v>131</v>
      </c>
      <c r="T51" s="7" t="s">
        <v>152</v>
      </c>
      <c r="U51" s="7" t="s">
        <v>120</v>
      </c>
      <c r="V51" s="7" t="s">
        <v>121</v>
      </c>
      <c r="W51" s="7" t="s">
        <v>133</v>
      </c>
      <c r="X51" s="7" t="s">
        <v>240</v>
      </c>
      <c r="Y51" s="7" t="s">
        <v>124</v>
      </c>
      <c r="Z51" s="7" t="s">
        <v>124</v>
      </c>
      <c r="AA51" s="7"/>
      <c r="AB51" s="7" t="s">
        <v>141</v>
      </c>
      <c r="AC51" s="7" t="n">
        <v>0</v>
      </c>
      <c r="AD51" s="7" t="n">
        <v>1</v>
      </c>
      <c r="AE51" s="7" t="n">
        <v>1</v>
      </c>
      <c r="AF51" s="7" t="n">
        <v>1</v>
      </c>
      <c r="AG51" s="7" t="n">
        <v>0</v>
      </c>
      <c r="AH51" s="7" t="n">
        <v>1</v>
      </c>
      <c r="AI51" s="7" t="n">
        <v>0</v>
      </c>
    </row>
    <row r="52" customFormat="false" ht="35.05" hidden="false" customHeight="false" outlineLevel="0" collapsed="false">
      <c r="A52" s="7" t="s">
        <v>279</v>
      </c>
      <c r="B52" s="7" t="s">
        <v>280</v>
      </c>
      <c r="C52" s="7" t="s">
        <v>281</v>
      </c>
      <c r="D52" s="7" t="s">
        <v>239</v>
      </c>
      <c r="E52" s="7" t="s">
        <v>113</v>
      </c>
      <c r="F52" s="7" t="s">
        <v>113</v>
      </c>
      <c r="G52" s="7" t="s">
        <v>114</v>
      </c>
      <c r="H52" s="7" t="s">
        <v>114</v>
      </c>
      <c r="I52" s="7" t="s">
        <v>115</v>
      </c>
      <c r="J52" s="10" t="n">
        <v>0</v>
      </c>
      <c r="K52" s="10" t="n">
        <v>120</v>
      </c>
      <c r="L52" s="11"/>
      <c r="M52" s="12" t="s">
        <v>128</v>
      </c>
      <c r="N52" s="7" t="s">
        <v>129</v>
      </c>
      <c r="O52" s="10" t="n">
        <v>75</v>
      </c>
      <c r="P52" s="10" t="str">
        <f aca="false">IF(AND(ISNUMBER(J52),J52&gt;0),ROUND(J52*Assumptions!$B$4,2),"")</f>
        <v/>
      </c>
      <c r="Q52" s="7" t="str">
        <f aca="false">IF(AND(ISNUMBER(K52),ISNUMBER(O52)),IF(ROUND(K52*Assumptions!$B$4,2)=O52,"Equals 70%","Differs ("&amp;TEXT(O52/K52,"0%")&amp;" of B2C)"),"")</f>
        <v>Differs (63% of B2C)</v>
      </c>
      <c r="R52" s="7" t="s">
        <v>140</v>
      </c>
      <c r="S52" s="7" t="s">
        <v>131</v>
      </c>
      <c r="T52" s="7" t="s">
        <v>152</v>
      </c>
      <c r="U52" s="7" t="s">
        <v>120</v>
      </c>
      <c r="V52" s="7" t="s">
        <v>121</v>
      </c>
      <c r="W52" s="7" t="s">
        <v>133</v>
      </c>
      <c r="X52" s="7" t="s">
        <v>240</v>
      </c>
      <c r="Y52" s="7" t="s">
        <v>124</v>
      </c>
      <c r="Z52" s="7" t="s">
        <v>124</v>
      </c>
      <c r="AA52" s="7"/>
      <c r="AB52" s="7" t="s">
        <v>141</v>
      </c>
      <c r="AC52" s="7" t="n">
        <v>0</v>
      </c>
      <c r="AD52" s="7" t="n">
        <v>1</v>
      </c>
      <c r="AE52" s="7" t="n">
        <v>1</v>
      </c>
      <c r="AF52" s="7" t="n">
        <v>1</v>
      </c>
      <c r="AG52" s="7" t="n">
        <v>0</v>
      </c>
      <c r="AH52" s="7" t="n">
        <v>1</v>
      </c>
      <c r="AI52" s="7" t="n">
        <v>0</v>
      </c>
    </row>
    <row r="53" customFormat="false" ht="35.05" hidden="false" customHeight="false" outlineLevel="0" collapsed="false">
      <c r="A53" s="7" t="s">
        <v>282</v>
      </c>
      <c r="B53" s="7"/>
      <c r="C53" s="7" t="s">
        <v>283</v>
      </c>
      <c r="D53" s="7" t="s">
        <v>239</v>
      </c>
      <c r="E53" s="7" t="s">
        <v>113</v>
      </c>
      <c r="F53" s="7" t="s">
        <v>113</v>
      </c>
      <c r="G53" s="7"/>
      <c r="H53" s="7" t="s">
        <v>114</v>
      </c>
      <c r="I53" s="7" t="s">
        <v>115</v>
      </c>
      <c r="J53" s="10"/>
      <c r="K53" s="10" t="n">
        <v>250</v>
      </c>
      <c r="L53" s="11"/>
      <c r="M53" s="7" t="s">
        <v>116</v>
      </c>
      <c r="N53" s="7" t="s">
        <v>117</v>
      </c>
      <c r="O53" s="10" t="n">
        <v>160</v>
      </c>
      <c r="P53" s="10" t="str">
        <f aca="false">IF(AND(ISNUMBER(J53),J53&gt;0),ROUND(J53*Assumptions!$B$4,2),"")</f>
        <v/>
      </c>
      <c r="Q53" s="7" t="str">
        <f aca="false">IF(AND(ISNUMBER(K53),ISNUMBER(O53)),IF(ROUND(K53*Assumptions!$B$4,2)=O53,"Equals 70%","Differs ("&amp;TEXT(O53/K53,"0%")&amp;" of B2C)"),"")</f>
        <v>Differs (64% of B2C)</v>
      </c>
      <c r="R53" s="7" t="s">
        <v>118</v>
      </c>
      <c r="S53" s="7"/>
      <c r="T53" s="7" t="s">
        <v>152</v>
      </c>
      <c r="U53" s="7" t="s">
        <v>120</v>
      </c>
      <c r="V53" s="7" t="s">
        <v>121</v>
      </c>
      <c r="W53" s="7" t="s">
        <v>117</v>
      </c>
      <c r="X53" s="7" t="s">
        <v>243</v>
      </c>
      <c r="Y53" s="7" t="s">
        <v>123</v>
      </c>
      <c r="Z53" s="7" t="s">
        <v>124</v>
      </c>
      <c r="AA53" s="7"/>
      <c r="AB53" s="7" t="s">
        <v>154</v>
      </c>
      <c r="AC53" s="7" t="n">
        <v>0</v>
      </c>
      <c r="AD53" s="7" t="n">
        <v>1</v>
      </c>
      <c r="AE53" s="7" t="n">
        <v>0</v>
      </c>
      <c r="AF53" s="7" t="n">
        <v>1</v>
      </c>
      <c r="AG53" s="7" t="n">
        <v>0</v>
      </c>
      <c r="AH53" s="7" t="n">
        <v>0</v>
      </c>
      <c r="AI53" s="7" t="n">
        <v>0</v>
      </c>
    </row>
    <row r="54" customFormat="false" ht="35.05" hidden="false" customHeight="false" outlineLevel="0" collapsed="false">
      <c r="A54" s="7" t="s">
        <v>284</v>
      </c>
      <c r="B54" s="7" t="s">
        <v>285</v>
      </c>
      <c r="C54" s="7" t="s">
        <v>285</v>
      </c>
      <c r="D54" s="7" t="s">
        <v>239</v>
      </c>
      <c r="E54" s="7" t="s">
        <v>113</v>
      </c>
      <c r="F54" s="7" t="s">
        <v>113</v>
      </c>
      <c r="G54" s="7" t="s">
        <v>157</v>
      </c>
      <c r="H54" s="7" t="s">
        <v>157</v>
      </c>
      <c r="I54" s="7" t="s">
        <v>161</v>
      </c>
      <c r="J54" s="10" t="n">
        <v>0</v>
      </c>
      <c r="K54" s="10" t="n">
        <v>250</v>
      </c>
      <c r="L54" s="11"/>
      <c r="M54" s="12" t="s">
        <v>128</v>
      </c>
      <c r="N54" s="7" t="s">
        <v>129</v>
      </c>
      <c r="O54" s="10" t="n">
        <v>160</v>
      </c>
      <c r="P54" s="10" t="str">
        <f aca="false">IF(AND(ISNUMBER(J54),J54&gt;0),ROUND(J54*Assumptions!$B$4,2),"")</f>
        <v/>
      </c>
      <c r="Q54" s="7" t="str">
        <f aca="false">IF(AND(ISNUMBER(K54),ISNUMBER(O54)),IF(ROUND(K54*Assumptions!$B$4,2)=O54,"Equals 70%","Differs ("&amp;TEXT(O54/K54,"0%")&amp;" of B2C)"),"")</f>
        <v>Differs (64% of B2C)</v>
      </c>
      <c r="R54" s="7" t="s">
        <v>140</v>
      </c>
      <c r="S54" s="7" t="s">
        <v>131</v>
      </c>
      <c r="T54" s="7" t="s">
        <v>152</v>
      </c>
      <c r="U54" s="7" t="s">
        <v>120</v>
      </c>
      <c r="V54" s="7" t="s">
        <v>121</v>
      </c>
      <c r="W54" s="7" t="s">
        <v>133</v>
      </c>
      <c r="X54" s="7" t="s">
        <v>240</v>
      </c>
      <c r="Y54" s="7" t="s">
        <v>124</v>
      </c>
      <c r="Z54" s="7" t="s">
        <v>124</v>
      </c>
      <c r="AA54" s="7"/>
      <c r="AB54" s="7" t="s">
        <v>141</v>
      </c>
      <c r="AC54" s="7" t="n">
        <v>0</v>
      </c>
      <c r="AD54" s="7" t="n">
        <v>1</v>
      </c>
      <c r="AE54" s="7" t="n">
        <v>1</v>
      </c>
      <c r="AF54" s="7" t="n">
        <v>1</v>
      </c>
      <c r="AG54" s="7" t="n">
        <v>0</v>
      </c>
      <c r="AH54" s="7" t="n">
        <v>1</v>
      </c>
      <c r="AI54" s="7" t="n">
        <v>0</v>
      </c>
    </row>
    <row r="55" customFormat="false" ht="35.05" hidden="false" customHeight="false" outlineLevel="0" collapsed="false">
      <c r="A55" s="7" t="s">
        <v>286</v>
      </c>
      <c r="B55" s="7"/>
      <c r="C55" s="7" t="s">
        <v>287</v>
      </c>
      <c r="D55" s="7" t="s">
        <v>239</v>
      </c>
      <c r="E55" s="7" t="s">
        <v>113</v>
      </c>
      <c r="F55" s="7" t="s">
        <v>113</v>
      </c>
      <c r="G55" s="7"/>
      <c r="H55" s="7" t="s">
        <v>114</v>
      </c>
      <c r="I55" s="7" t="s">
        <v>115</v>
      </c>
      <c r="J55" s="10"/>
      <c r="K55" s="10" t="n">
        <v>280</v>
      </c>
      <c r="L55" s="11"/>
      <c r="M55" s="7" t="s">
        <v>116</v>
      </c>
      <c r="N55" s="7" t="s">
        <v>117</v>
      </c>
      <c r="O55" s="10" t="n">
        <v>180</v>
      </c>
      <c r="P55" s="10" t="str">
        <f aca="false">IF(AND(ISNUMBER(J55),J55&gt;0),ROUND(J55*Assumptions!$B$4,2),"")</f>
        <v/>
      </c>
      <c r="Q55" s="7" t="str">
        <f aca="false">IF(AND(ISNUMBER(K55),ISNUMBER(O55)),IF(ROUND(K55*Assumptions!$B$4,2)=O55,"Equals 70%","Differs ("&amp;TEXT(O55/K55,"0%")&amp;" of B2C)"),"")</f>
        <v>Differs (64% of B2C)</v>
      </c>
      <c r="R55" s="7" t="s">
        <v>118</v>
      </c>
      <c r="S55" s="7"/>
      <c r="T55" s="7" t="s">
        <v>152</v>
      </c>
      <c r="U55" s="7" t="s">
        <v>120</v>
      </c>
      <c r="V55" s="7" t="s">
        <v>121</v>
      </c>
      <c r="W55" s="7" t="s">
        <v>117</v>
      </c>
      <c r="X55" s="7" t="s">
        <v>243</v>
      </c>
      <c r="Y55" s="7" t="s">
        <v>123</v>
      </c>
      <c r="Z55" s="7" t="s">
        <v>124</v>
      </c>
      <c r="AA55" s="7"/>
      <c r="AB55" s="7" t="s">
        <v>154</v>
      </c>
      <c r="AC55" s="7" t="n">
        <v>0</v>
      </c>
      <c r="AD55" s="7" t="n">
        <v>1</v>
      </c>
      <c r="AE55" s="7" t="n">
        <v>0</v>
      </c>
      <c r="AF55" s="7" t="n">
        <v>1</v>
      </c>
      <c r="AG55" s="7" t="n">
        <v>0</v>
      </c>
      <c r="AH55" s="7" t="n">
        <v>0</v>
      </c>
      <c r="AI55" s="7" t="n">
        <v>0</v>
      </c>
    </row>
    <row r="56" customFormat="false" ht="35.05" hidden="false" customHeight="false" outlineLevel="0" collapsed="false">
      <c r="A56" s="7" t="s">
        <v>288</v>
      </c>
      <c r="B56" s="7"/>
      <c r="C56" s="7" t="s">
        <v>289</v>
      </c>
      <c r="D56" s="7" t="s">
        <v>239</v>
      </c>
      <c r="E56" s="7" t="s">
        <v>113</v>
      </c>
      <c r="F56" s="7" t="s">
        <v>113</v>
      </c>
      <c r="G56" s="7"/>
      <c r="H56" s="7" t="s">
        <v>157</v>
      </c>
      <c r="I56" s="7" t="s">
        <v>151</v>
      </c>
      <c r="J56" s="10"/>
      <c r="K56" s="10" t="n">
        <v>650</v>
      </c>
      <c r="L56" s="11"/>
      <c r="M56" s="7" t="s">
        <v>116</v>
      </c>
      <c r="N56" s="7" t="s">
        <v>117</v>
      </c>
      <c r="O56" s="10" t="n">
        <v>420</v>
      </c>
      <c r="P56" s="10" t="str">
        <f aca="false">IF(AND(ISNUMBER(J56),J56&gt;0),ROUND(J56*Assumptions!$B$4,2),"")</f>
        <v/>
      </c>
      <c r="Q56" s="7" t="str">
        <f aca="false">IF(AND(ISNUMBER(K56),ISNUMBER(O56)),IF(ROUND(K56*Assumptions!$B$4,2)=O56,"Equals 70%","Differs ("&amp;TEXT(O56/K56,"0%")&amp;" of B2C)"),"")</f>
        <v>Differs (65% of B2C)</v>
      </c>
      <c r="R56" s="7" t="s">
        <v>118</v>
      </c>
      <c r="S56" s="7"/>
      <c r="T56" s="7" t="s">
        <v>152</v>
      </c>
      <c r="U56" s="7" t="s">
        <v>120</v>
      </c>
      <c r="V56" s="7" t="s">
        <v>121</v>
      </c>
      <c r="W56" s="7" t="s">
        <v>117</v>
      </c>
      <c r="X56" s="7" t="s">
        <v>243</v>
      </c>
      <c r="Y56" s="7" t="s">
        <v>123</v>
      </c>
      <c r="Z56" s="7" t="s">
        <v>124</v>
      </c>
      <c r="AA56" s="7"/>
      <c r="AB56" s="7" t="s">
        <v>154</v>
      </c>
      <c r="AC56" s="7" t="n">
        <v>0</v>
      </c>
      <c r="AD56" s="7" t="n">
        <v>1</v>
      </c>
      <c r="AE56" s="7" t="n">
        <v>0</v>
      </c>
      <c r="AF56" s="7" t="n">
        <v>1</v>
      </c>
      <c r="AG56" s="7" t="n">
        <v>0</v>
      </c>
      <c r="AH56" s="7" t="n">
        <v>0</v>
      </c>
      <c r="AI56" s="7" t="n">
        <v>0</v>
      </c>
    </row>
    <row r="57" customFormat="false" ht="35.05" hidden="false" customHeight="false" outlineLevel="0" collapsed="false">
      <c r="A57" s="7" t="s">
        <v>290</v>
      </c>
      <c r="B57" s="7"/>
      <c r="C57" s="7" t="s">
        <v>291</v>
      </c>
      <c r="D57" s="7" t="s">
        <v>239</v>
      </c>
      <c r="E57" s="7" t="s">
        <v>113</v>
      </c>
      <c r="F57" s="7" t="s">
        <v>113</v>
      </c>
      <c r="G57" s="7"/>
      <c r="H57" s="7" t="s">
        <v>157</v>
      </c>
      <c r="I57" s="7" t="s">
        <v>151</v>
      </c>
      <c r="J57" s="10"/>
      <c r="K57" s="10" t="n">
        <v>1400</v>
      </c>
      <c r="L57" s="11"/>
      <c r="M57" s="7" t="s">
        <v>116</v>
      </c>
      <c r="N57" s="7" t="s">
        <v>117</v>
      </c>
      <c r="O57" s="10" t="n">
        <v>900</v>
      </c>
      <c r="P57" s="10" t="str">
        <f aca="false">IF(AND(ISNUMBER(J57),J57&gt;0),ROUND(J57*Assumptions!$B$4,2),"")</f>
        <v/>
      </c>
      <c r="Q57" s="7" t="str">
        <f aca="false">IF(AND(ISNUMBER(K57),ISNUMBER(O57)),IF(ROUND(K57*Assumptions!$B$4,2)=O57,"Equals 70%","Differs ("&amp;TEXT(O57/K57,"0%")&amp;" of B2C)"),"")</f>
        <v>Differs (64% of B2C)</v>
      </c>
      <c r="R57" s="7" t="s">
        <v>118</v>
      </c>
      <c r="S57" s="7"/>
      <c r="T57" s="7" t="s">
        <v>152</v>
      </c>
      <c r="U57" s="7" t="s">
        <v>120</v>
      </c>
      <c r="V57" s="7" t="s">
        <v>121</v>
      </c>
      <c r="W57" s="7" t="s">
        <v>117</v>
      </c>
      <c r="X57" s="7" t="s">
        <v>243</v>
      </c>
      <c r="Y57" s="7" t="s">
        <v>123</v>
      </c>
      <c r="Z57" s="7" t="s">
        <v>124</v>
      </c>
      <c r="AA57" s="7"/>
      <c r="AB57" s="7" t="s">
        <v>154</v>
      </c>
      <c r="AC57" s="7" t="n">
        <v>0</v>
      </c>
      <c r="AD57" s="7" t="n">
        <v>1</v>
      </c>
      <c r="AE57" s="7" t="n">
        <v>0</v>
      </c>
      <c r="AF57" s="7" t="n">
        <v>1</v>
      </c>
      <c r="AG57" s="7" t="n">
        <v>0</v>
      </c>
      <c r="AH57" s="7" t="n">
        <v>0</v>
      </c>
      <c r="AI57" s="7" t="n">
        <v>0</v>
      </c>
    </row>
    <row r="58" customFormat="false" ht="35.05" hidden="false" customHeight="false" outlineLevel="0" collapsed="false">
      <c r="A58" s="7" t="s">
        <v>292</v>
      </c>
      <c r="B58" s="7"/>
      <c r="C58" s="7" t="s">
        <v>293</v>
      </c>
      <c r="D58" s="7" t="s">
        <v>239</v>
      </c>
      <c r="E58" s="7" t="s">
        <v>113</v>
      </c>
      <c r="F58" s="7" t="s">
        <v>113</v>
      </c>
      <c r="G58" s="7"/>
      <c r="H58" s="7" t="s">
        <v>114</v>
      </c>
      <c r="I58" s="7" t="s">
        <v>115</v>
      </c>
      <c r="J58" s="10"/>
      <c r="K58" s="10" t="n">
        <v>90</v>
      </c>
      <c r="L58" s="11"/>
      <c r="M58" s="7" t="s">
        <v>116</v>
      </c>
      <c r="N58" s="7" t="s">
        <v>117</v>
      </c>
      <c r="O58" s="10" t="n">
        <v>55</v>
      </c>
      <c r="P58" s="10" t="str">
        <f aca="false">IF(AND(ISNUMBER(J58),J58&gt;0),ROUND(J58*Assumptions!$B$4,2),"")</f>
        <v/>
      </c>
      <c r="Q58" s="7" t="str">
        <f aca="false">IF(AND(ISNUMBER(K58),ISNUMBER(O58)),IF(ROUND(K58*Assumptions!$B$4,2)=O58,"Equals 70%","Differs ("&amp;TEXT(O58/K58,"0%")&amp;" of B2C)"),"")</f>
        <v>Differs (61% of B2C)</v>
      </c>
      <c r="R58" s="7" t="s">
        <v>118</v>
      </c>
      <c r="S58" s="7"/>
      <c r="T58" s="7" t="s">
        <v>152</v>
      </c>
      <c r="U58" s="7" t="s">
        <v>120</v>
      </c>
      <c r="V58" s="7" t="s">
        <v>121</v>
      </c>
      <c r="W58" s="7" t="s">
        <v>117</v>
      </c>
      <c r="X58" s="7" t="s">
        <v>243</v>
      </c>
      <c r="Y58" s="7" t="s">
        <v>123</v>
      </c>
      <c r="Z58" s="7" t="s">
        <v>124</v>
      </c>
      <c r="AA58" s="7"/>
      <c r="AB58" s="7" t="s">
        <v>154</v>
      </c>
      <c r="AC58" s="7" t="n">
        <v>0</v>
      </c>
      <c r="AD58" s="7" t="n">
        <v>1</v>
      </c>
      <c r="AE58" s="7" t="n">
        <v>0</v>
      </c>
      <c r="AF58" s="7" t="n">
        <v>1</v>
      </c>
      <c r="AG58" s="7" t="n">
        <v>0</v>
      </c>
      <c r="AH58" s="7" t="n">
        <v>0</v>
      </c>
      <c r="AI58" s="7" t="n">
        <v>0</v>
      </c>
    </row>
    <row r="59" customFormat="false" ht="35.05" hidden="false" customHeight="false" outlineLevel="0" collapsed="false">
      <c r="A59" s="7" t="s">
        <v>294</v>
      </c>
      <c r="B59" s="7"/>
      <c r="C59" s="7" t="s">
        <v>295</v>
      </c>
      <c r="D59" s="7" t="s">
        <v>239</v>
      </c>
      <c r="E59" s="7" t="s">
        <v>113</v>
      </c>
      <c r="F59" s="7" t="s">
        <v>113</v>
      </c>
      <c r="G59" s="7"/>
      <c r="H59" s="7" t="s">
        <v>114</v>
      </c>
      <c r="I59" s="7" t="s">
        <v>115</v>
      </c>
      <c r="J59" s="10"/>
      <c r="K59" s="10" t="n">
        <v>70</v>
      </c>
      <c r="L59" s="11"/>
      <c r="M59" s="7" t="s">
        <v>116</v>
      </c>
      <c r="N59" s="7" t="s">
        <v>117</v>
      </c>
      <c r="O59" s="10" t="n">
        <v>40</v>
      </c>
      <c r="P59" s="10" t="str">
        <f aca="false">IF(AND(ISNUMBER(J59),J59&gt;0),ROUND(J59*Assumptions!$B$4,2),"")</f>
        <v/>
      </c>
      <c r="Q59" s="7" t="str">
        <f aca="false">IF(AND(ISNUMBER(K59),ISNUMBER(O59)),IF(ROUND(K59*Assumptions!$B$4,2)=O59,"Equals 70%","Differs ("&amp;TEXT(O59/K59,"0%")&amp;" of B2C)"),"")</f>
        <v>Differs (57% of B2C)</v>
      </c>
      <c r="R59" s="7" t="s">
        <v>118</v>
      </c>
      <c r="S59" s="7"/>
      <c r="T59" s="7" t="s">
        <v>152</v>
      </c>
      <c r="U59" s="7" t="s">
        <v>120</v>
      </c>
      <c r="V59" s="7" t="s">
        <v>121</v>
      </c>
      <c r="W59" s="7" t="s">
        <v>117</v>
      </c>
      <c r="X59" s="7" t="s">
        <v>243</v>
      </c>
      <c r="Y59" s="7" t="s">
        <v>123</v>
      </c>
      <c r="Z59" s="7" t="s">
        <v>124</v>
      </c>
      <c r="AA59" s="7"/>
      <c r="AB59" s="7" t="s">
        <v>154</v>
      </c>
      <c r="AC59" s="7" t="n">
        <v>0</v>
      </c>
      <c r="AD59" s="7" t="n">
        <v>1</v>
      </c>
      <c r="AE59" s="7" t="n">
        <v>0</v>
      </c>
      <c r="AF59" s="7" t="n">
        <v>1</v>
      </c>
      <c r="AG59" s="7" t="n">
        <v>0</v>
      </c>
      <c r="AH59" s="7" t="n">
        <v>0</v>
      </c>
      <c r="AI59" s="7" t="n">
        <v>0</v>
      </c>
    </row>
    <row r="60" customFormat="false" ht="23.85" hidden="false" customHeight="false" outlineLevel="0" collapsed="false">
      <c r="A60" s="7" t="s">
        <v>296</v>
      </c>
      <c r="B60" s="7" t="s">
        <v>297</v>
      </c>
      <c r="C60" s="7"/>
      <c r="D60" s="7" t="s">
        <v>298</v>
      </c>
      <c r="E60" s="7" t="s">
        <v>113</v>
      </c>
      <c r="F60" s="7"/>
      <c r="G60" s="7" t="s">
        <v>157</v>
      </c>
      <c r="H60" s="7"/>
      <c r="I60" s="7" t="s">
        <v>151</v>
      </c>
      <c r="J60" s="10" t="n">
        <v>0</v>
      </c>
      <c r="K60" s="10"/>
      <c r="L60" s="11"/>
      <c r="M60" s="12" t="s">
        <v>128</v>
      </c>
      <c r="N60" s="7" t="s">
        <v>129</v>
      </c>
      <c r="O60" s="10"/>
      <c r="P60" s="10" t="str">
        <f aca="false">IF(AND(ISNUMBER(J60),J60&gt;0),ROUND(J60*Assumptions!$B$4,2),"")</f>
        <v/>
      </c>
      <c r="Q60" s="7" t="str">
        <f aca="false">IF(AND(ISNUMBER(K60),ISNUMBER(O60)),IF(ROUND(K60*Assumptions!$B$4,2)=O60,"Equals 70%","Differs ("&amp;TEXT(O60/K60,"0%")&amp;" of B2C)"),"")</f>
        <v/>
      </c>
      <c r="R60" s="7" t="s">
        <v>130</v>
      </c>
      <c r="S60" s="7" t="s">
        <v>131</v>
      </c>
      <c r="T60" s="7"/>
      <c r="U60" s="7" t="s">
        <v>132</v>
      </c>
      <c r="V60" s="7" t="s">
        <v>121</v>
      </c>
      <c r="W60" s="7" t="s">
        <v>133</v>
      </c>
      <c r="X60" s="7" t="s">
        <v>299</v>
      </c>
      <c r="Y60" s="7" t="s">
        <v>124</v>
      </c>
      <c r="Z60" s="7" t="s">
        <v>123</v>
      </c>
      <c r="AA60" s="7"/>
      <c r="AB60" s="7" t="s">
        <v>141</v>
      </c>
      <c r="AC60" s="7" t="n">
        <v>0</v>
      </c>
      <c r="AD60" s="7" t="n">
        <v>1</v>
      </c>
      <c r="AE60" s="7" t="n">
        <v>1</v>
      </c>
      <c r="AF60" s="7" t="n">
        <v>1</v>
      </c>
      <c r="AG60" s="7" t="n">
        <v>0</v>
      </c>
      <c r="AH60" s="7" t="n">
        <v>1</v>
      </c>
      <c r="AI60" s="7" t="n">
        <v>0</v>
      </c>
    </row>
    <row r="61" customFormat="false" ht="35.05" hidden="false" customHeight="false" outlineLevel="0" collapsed="false">
      <c r="A61" s="7" t="s">
        <v>300</v>
      </c>
      <c r="B61" s="7" t="s">
        <v>301</v>
      </c>
      <c r="C61" s="7" t="s">
        <v>302</v>
      </c>
      <c r="D61" s="7" t="s">
        <v>303</v>
      </c>
      <c r="E61" s="7" t="s">
        <v>113</v>
      </c>
      <c r="F61" s="7" t="s">
        <v>113</v>
      </c>
      <c r="G61" s="7" t="s">
        <v>304</v>
      </c>
      <c r="H61" s="7" t="s">
        <v>304</v>
      </c>
      <c r="I61" s="7" t="s">
        <v>161</v>
      </c>
      <c r="J61" s="10" t="n">
        <v>0</v>
      </c>
      <c r="K61" s="10" t="n">
        <v>15000</v>
      </c>
      <c r="L61" s="11"/>
      <c r="M61" s="12" t="s">
        <v>128</v>
      </c>
      <c r="N61" s="7" t="s">
        <v>129</v>
      </c>
      <c r="O61" s="10" t="n">
        <v>10500</v>
      </c>
      <c r="P61" s="10" t="str">
        <f aca="false">IF(AND(ISNUMBER(J61),J61&gt;0),ROUND(J61*Assumptions!$B$4,2),"")</f>
        <v/>
      </c>
      <c r="Q61" s="7" t="str">
        <f aca="false">IF(AND(ISNUMBER(K61),ISNUMBER(O61)),IF(ROUND(K61*Assumptions!$B$4,2)=O61,"Equals 70%","Differs ("&amp;TEXT(O61/K61,"0%")&amp;" of B2C)"),"")</f>
        <v>Equals 70%</v>
      </c>
      <c r="R61" s="7" t="s">
        <v>140</v>
      </c>
      <c r="S61" s="7" t="s">
        <v>131</v>
      </c>
      <c r="T61" s="7" t="s">
        <v>119</v>
      </c>
      <c r="U61" s="7" t="s">
        <v>120</v>
      </c>
      <c r="V61" s="7" t="s">
        <v>121</v>
      </c>
      <c r="W61" s="7" t="s">
        <v>133</v>
      </c>
      <c r="X61" s="7" t="s">
        <v>305</v>
      </c>
      <c r="Y61" s="7" t="s">
        <v>124</v>
      </c>
      <c r="Z61" s="7" t="s">
        <v>124</v>
      </c>
      <c r="AA61" s="7"/>
      <c r="AB61" s="7" t="s">
        <v>141</v>
      </c>
      <c r="AC61" s="7" t="n">
        <v>0</v>
      </c>
      <c r="AD61" s="7" t="n">
        <v>1</v>
      </c>
      <c r="AE61" s="7" t="n">
        <v>1</v>
      </c>
      <c r="AF61" s="7" t="n">
        <v>1</v>
      </c>
      <c r="AG61" s="7" t="n">
        <v>0</v>
      </c>
      <c r="AH61" s="7" t="n">
        <v>1</v>
      </c>
      <c r="AI61" s="7" t="n">
        <v>0</v>
      </c>
    </row>
    <row r="62" customFormat="false" ht="35.05" hidden="false" customHeight="false" outlineLevel="0" collapsed="false">
      <c r="A62" s="7" t="s">
        <v>244</v>
      </c>
      <c r="B62" s="7" t="s">
        <v>306</v>
      </c>
      <c r="C62" s="7" t="s">
        <v>307</v>
      </c>
      <c r="D62" s="7" t="s">
        <v>303</v>
      </c>
      <c r="E62" s="7" t="s">
        <v>113</v>
      </c>
      <c r="F62" s="7" t="s">
        <v>113</v>
      </c>
      <c r="G62" s="7" t="s">
        <v>114</v>
      </c>
      <c r="H62" s="7" t="s">
        <v>114</v>
      </c>
      <c r="I62" s="7" t="s">
        <v>115</v>
      </c>
      <c r="J62" s="10" t="n">
        <v>0</v>
      </c>
      <c r="K62" s="10" t="n">
        <v>3500</v>
      </c>
      <c r="L62" s="11"/>
      <c r="M62" s="12" t="s">
        <v>128</v>
      </c>
      <c r="N62" s="7" t="s">
        <v>129</v>
      </c>
      <c r="O62" s="10" t="n">
        <v>2300</v>
      </c>
      <c r="P62" s="10" t="str">
        <f aca="false">IF(AND(ISNUMBER(J62),J62&gt;0),ROUND(J62*Assumptions!$B$4,2),"")</f>
        <v/>
      </c>
      <c r="Q62" s="7" t="str">
        <f aca="false">IF(AND(ISNUMBER(K62),ISNUMBER(O62)),IF(ROUND(K62*Assumptions!$B$4,2)=O62,"Equals 70%","Differs ("&amp;TEXT(O62/K62,"0%")&amp;" of B2C)"),"")</f>
        <v>Differs (66% of B2C)</v>
      </c>
      <c r="R62" s="7" t="s">
        <v>140</v>
      </c>
      <c r="S62" s="7" t="s">
        <v>131</v>
      </c>
      <c r="T62" s="7" t="s">
        <v>152</v>
      </c>
      <c r="U62" s="7" t="s">
        <v>120</v>
      </c>
      <c r="V62" s="7" t="s">
        <v>121</v>
      </c>
      <c r="W62" s="7" t="s">
        <v>133</v>
      </c>
      <c r="X62" s="7" t="s">
        <v>305</v>
      </c>
      <c r="Y62" s="7" t="s">
        <v>124</v>
      </c>
      <c r="Z62" s="7" t="s">
        <v>124</v>
      </c>
      <c r="AA62" s="7" t="s">
        <v>241</v>
      </c>
      <c r="AB62" s="7" t="s">
        <v>136</v>
      </c>
      <c r="AC62" s="7" t="n">
        <v>0</v>
      </c>
      <c r="AD62" s="7" t="n">
        <v>1</v>
      </c>
      <c r="AE62" s="7" t="n">
        <v>1</v>
      </c>
      <c r="AF62" s="7" t="n">
        <v>1</v>
      </c>
      <c r="AG62" s="7" t="n">
        <v>1</v>
      </c>
      <c r="AH62" s="7" t="n">
        <v>1</v>
      </c>
      <c r="AI62" s="7" t="n">
        <v>0</v>
      </c>
    </row>
    <row r="63" customFormat="false" ht="35.05" hidden="false" customHeight="false" outlineLevel="0" collapsed="false">
      <c r="A63" s="7" t="s">
        <v>308</v>
      </c>
      <c r="B63" s="7"/>
      <c r="C63" s="7" t="s">
        <v>309</v>
      </c>
      <c r="D63" s="7" t="s">
        <v>310</v>
      </c>
      <c r="E63" s="7" t="s">
        <v>207</v>
      </c>
      <c r="F63" s="7" t="s">
        <v>207</v>
      </c>
      <c r="G63" s="7"/>
      <c r="H63" s="7" t="s">
        <v>208</v>
      </c>
      <c r="I63" s="12" t="s">
        <v>311</v>
      </c>
      <c r="J63" s="10"/>
      <c r="K63" s="10" t="n">
        <v>1100</v>
      </c>
      <c r="L63" s="11"/>
      <c r="M63" s="7" t="s">
        <v>116</v>
      </c>
      <c r="N63" s="7" t="s">
        <v>117</v>
      </c>
      <c r="O63" s="10" t="n">
        <v>650</v>
      </c>
      <c r="P63" s="10" t="str">
        <f aca="false">IF(AND(ISNUMBER(J63),J63&gt;0),ROUND(J63*Assumptions!$B$4,2),"")</f>
        <v/>
      </c>
      <c r="Q63" s="7" t="str">
        <f aca="false">IF(AND(ISNUMBER(K63),ISNUMBER(O63)),IF(ROUND(K63*Assumptions!$B$4,2)=O63,"Equals 70%","Differs ("&amp;TEXT(O63/K63,"0%")&amp;" of B2C)"),"")</f>
        <v>Differs (59% of B2C)</v>
      </c>
      <c r="R63" s="7" t="s">
        <v>118</v>
      </c>
      <c r="S63" s="7"/>
      <c r="T63" s="7" t="s">
        <v>212</v>
      </c>
      <c r="U63" s="7" t="s">
        <v>120</v>
      </c>
      <c r="V63" s="7" t="s">
        <v>121</v>
      </c>
      <c r="W63" s="7" t="s">
        <v>117</v>
      </c>
      <c r="X63" s="7" t="s">
        <v>312</v>
      </c>
      <c r="Y63" s="7" t="s">
        <v>123</v>
      </c>
      <c r="Z63" s="7" t="s">
        <v>124</v>
      </c>
      <c r="AA63" s="7"/>
      <c r="AB63" s="7" t="s">
        <v>220</v>
      </c>
      <c r="AC63" s="7" t="n">
        <v>1</v>
      </c>
      <c r="AD63" s="7" t="n">
        <v>1</v>
      </c>
      <c r="AE63" s="7" t="n">
        <v>0</v>
      </c>
      <c r="AF63" s="7" t="n">
        <v>1</v>
      </c>
      <c r="AG63" s="7" t="n">
        <v>0</v>
      </c>
      <c r="AH63" s="7" t="n">
        <v>0</v>
      </c>
      <c r="AI63" s="7" t="n">
        <v>0</v>
      </c>
    </row>
    <row r="64" customFormat="false" ht="35.05" hidden="false" customHeight="false" outlineLevel="0" collapsed="false">
      <c r="A64" s="7" t="s">
        <v>313</v>
      </c>
      <c r="B64" s="7"/>
      <c r="C64" s="7" t="s">
        <v>314</v>
      </c>
      <c r="D64" s="7" t="s">
        <v>310</v>
      </c>
      <c r="E64" s="7" t="s">
        <v>207</v>
      </c>
      <c r="F64" s="7" t="s">
        <v>207</v>
      </c>
      <c r="G64" s="7"/>
      <c r="H64" s="7" t="s">
        <v>208</v>
      </c>
      <c r="I64" s="12" t="s">
        <v>311</v>
      </c>
      <c r="J64" s="10"/>
      <c r="K64" s="10" t="n">
        <v>950</v>
      </c>
      <c r="L64" s="11"/>
      <c r="M64" s="7" t="s">
        <v>116</v>
      </c>
      <c r="N64" s="7" t="s">
        <v>117</v>
      </c>
      <c r="O64" s="10" t="n">
        <v>520</v>
      </c>
      <c r="P64" s="10" t="str">
        <f aca="false">IF(AND(ISNUMBER(J64),J64&gt;0),ROUND(J64*Assumptions!$B$4,2),"")</f>
        <v/>
      </c>
      <c r="Q64" s="7" t="str">
        <f aca="false">IF(AND(ISNUMBER(K64),ISNUMBER(O64)),IF(ROUND(K64*Assumptions!$B$4,2)=O64,"Equals 70%","Differs ("&amp;TEXT(O64/K64,"0%")&amp;" of B2C)"),"")</f>
        <v>Differs (55% of B2C)</v>
      </c>
      <c r="R64" s="7" t="s">
        <v>118</v>
      </c>
      <c r="S64" s="7"/>
      <c r="T64" s="7" t="s">
        <v>212</v>
      </c>
      <c r="U64" s="7" t="s">
        <v>120</v>
      </c>
      <c r="V64" s="7" t="s">
        <v>121</v>
      </c>
      <c r="W64" s="7" t="s">
        <v>117</v>
      </c>
      <c r="X64" s="7" t="s">
        <v>312</v>
      </c>
      <c r="Y64" s="7" t="s">
        <v>123</v>
      </c>
      <c r="Z64" s="7" t="s">
        <v>124</v>
      </c>
      <c r="AA64" s="7"/>
      <c r="AB64" s="7" t="s">
        <v>220</v>
      </c>
      <c r="AC64" s="7" t="n">
        <v>1</v>
      </c>
      <c r="AD64" s="7" t="n">
        <v>1</v>
      </c>
      <c r="AE64" s="7" t="n">
        <v>0</v>
      </c>
      <c r="AF64" s="7" t="n">
        <v>1</v>
      </c>
      <c r="AG64" s="7" t="n">
        <v>0</v>
      </c>
      <c r="AH64" s="7" t="n">
        <v>0</v>
      </c>
      <c r="AI64" s="7" t="n">
        <v>0</v>
      </c>
    </row>
    <row r="65" customFormat="false" ht="35.05" hidden="false" customHeight="false" outlineLevel="0" collapsed="false">
      <c r="A65" s="7" t="s">
        <v>315</v>
      </c>
      <c r="B65" s="7"/>
      <c r="C65" s="7" t="s">
        <v>316</v>
      </c>
      <c r="D65" s="7" t="s">
        <v>310</v>
      </c>
      <c r="E65" s="7" t="s">
        <v>207</v>
      </c>
      <c r="F65" s="7" t="s">
        <v>207</v>
      </c>
      <c r="G65" s="7"/>
      <c r="H65" s="7" t="s">
        <v>208</v>
      </c>
      <c r="I65" s="12" t="s">
        <v>311</v>
      </c>
      <c r="J65" s="10"/>
      <c r="K65" s="10" t="n">
        <v>1400</v>
      </c>
      <c r="L65" s="11"/>
      <c r="M65" s="7" t="s">
        <v>116</v>
      </c>
      <c r="N65" s="7" t="s">
        <v>117</v>
      </c>
      <c r="O65" s="10" t="n">
        <v>850</v>
      </c>
      <c r="P65" s="10" t="str">
        <f aca="false">IF(AND(ISNUMBER(J65),J65&gt;0),ROUND(J65*Assumptions!$B$4,2),"")</f>
        <v/>
      </c>
      <c r="Q65" s="7" t="str">
        <f aca="false">IF(AND(ISNUMBER(K65),ISNUMBER(O65)),IF(ROUND(K65*Assumptions!$B$4,2)=O65,"Equals 70%","Differs ("&amp;TEXT(O65/K65,"0%")&amp;" of B2C)"),"")</f>
        <v>Differs (61% of B2C)</v>
      </c>
      <c r="R65" s="7" t="s">
        <v>118</v>
      </c>
      <c r="S65" s="7"/>
      <c r="T65" s="7" t="s">
        <v>212</v>
      </c>
      <c r="U65" s="7" t="s">
        <v>120</v>
      </c>
      <c r="V65" s="7" t="s">
        <v>121</v>
      </c>
      <c r="W65" s="7" t="s">
        <v>117</v>
      </c>
      <c r="X65" s="7" t="s">
        <v>312</v>
      </c>
      <c r="Y65" s="7" t="s">
        <v>123</v>
      </c>
      <c r="Z65" s="7" t="s">
        <v>124</v>
      </c>
      <c r="AA65" s="7"/>
      <c r="AB65" s="7" t="s">
        <v>220</v>
      </c>
      <c r="AC65" s="7" t="n">
        <v>1</v>
      </c>
      <c r="AD65" s="7" t="n">
        <v>1</v>
      </c>
      <c r="AE65" s="7" t="n">
        <v>0</v>
      </c>
      <c r="AF65" s="7" t="n">
        <v>1</v>
      </c>
      <c r="AG65" s="7" t="n">
        <v>0</v>
      </c>
      <c r="AH65" s="7" t="n">
        <v>0</v>
      </c>
      <c r="AI65" s="7" t="n">
        <v>0</v>
      </c>
    </row>
    <row r="66" customFormat="false" ht="35.05" hidden="false" customHeight="false" outlineLevel="0" collapsed="false">
      <c r="A66" s="7" t="s">
        <v>317</v>
      </c>
      <c r="B66" s="7" t="s">
        <v>318</v>
      </c>
      <c r="C66" s="7" t="s">
        <v>319</v>
      </c>
      <c r="D66" s="7" t="s">
        <v>310</v>
      </c>
      <c r="E66" s="7" t="s">
        <v>207</v>
      </c>
      <c r="F66" s="7" t="s">
        <v>207</v>
      </c>
      <c r="G66" s="7" t="s">
        <v>157</v>
      </c>
      <c r="H66" s="7" t="s">
        <v>208</v>
      </c>
      <c r="I66" s="12" t="s">
        <v>209</v>
      </c>
      <c r="J66" s="10" t="n">
        <v>450</v>
      </c>
      <c r="K66" s="10" t="n">
        <v>450</v>
      </c>
      <c r="L66" s="11"/>
      <c r="M66" s="7" t="s">
        <v>210</v>
      </c>
      <c r="N66" s="7" t="s">
        <v>129</v>
      </c>
      <c r="O66" s="10" t="n">
        <v>250</v>
      </c>
      <c r="P66" s="10" t="n">
        <f aca="false">IF(AND(ISNUMBER(J66),J66&gt;0),ROUND(J66*Assumptions!$B$4,2),"")</f>
        <v>315</v>
      </c>
      <c r="Q66" s="7" t="str">
        <f aca="false">IF(AND(ISNUMBER(K66),ISNUMBER(O66)),IF(ROUND(K66*Assumptions!$B$4,2)=O66,"Equals 70%","Differs ("&amp;TEXT(O66/K66,"0%")&amp;" of B2C)"),"")</f>
        <v>Differs (56% of B2C)</v>
      </c>
      <c r="R66" s="7" t="s">
        <v>211</v>
      </c>
      <c r="S66" s="7" t="s">
        <v>131</v>
      </c>
      <c r="T66" s="7" t="s">
        <v>212</v>
      </c>
      <c r="U66" s="7" t="s">
        <v>120</v>
      </c>
      <c r="V66" s="7" t="s">
        <v>121</v>
      </c>
      <c r="W66" s="7" t="s">
        <v>213</v>
      </c>
      <c r="X66" s="7" t="s">
        <v>320</v>
      </c>
      <c r="Y66" s="7" t="s">
        <v>124</v>
      </c>
      <c r="Z66" s="7" t="s">
        <v>124</v>
      </c>
      <c r="AA66" s="7"/>
      <c r="AB66" s="7" t="s">
        <v>215</v>
      </c>
      <c r="AC66" s="7" t="n">
        <v>1</v>
      </c>
      <c r="AD66" s="7" t="n">
        <v>1</v>
      </c>
      <c r="AE66" s="7" t="n">
        <v>1</v>
      </c>
      <c r="AF66" s="7" t="n">
        <v>1</v>
      </c>
      <c r="AG66" s="7" t="n">
        <v>0</v>
      </c>
      <c r="AH66" s="7" t="n">
        <v>0</v>
      </c>
      <c r="AI66" s="7" t="n">
        <v>0</v>
      </c>
    </row>
    <row r="67" customFormat="false" ht="35.05" hidden="false" customHeight="false" outlineLevel="0" collapsed="false">
      <c r="A67" s="7" t="s">
        <v>321</v>
      </c>
      <c r="B67" s="7"/>
      <c r="C67" s="7" t="s">
        <v>322</v>
      </c>
      <c r="D67" s="7" t="s">
        <v>310</v>
      </c>
      <c r="E67" s="7" t="s">
        <v>207</v>
      </c>
      <c r="F67" s="7" t="s">
        <v>207</v>
      </c>
      <c r="G67" s="7"/>
      <c r="H67" s="7" t="s">
        <v>208</v>
      </c>
      <c r="I67" s="12" t="s">
        <v>311</v>
      </c>
      <c r="J67" s="10"/>
      <c r="K67" s="10" t="n">
        <v>550</v>
      </c>
      <c r="L67" s="11"/>
      <c r="M67" s="7" t="s">
        <v>116</v>
      </c>
      <c r="N67" s="7" t="s">
        <v>117</v>
      </c>
      <c r="O67" s="10" t="n">
        <v>300</v>
      </c>
      <c r="P67" s="10" t="str">
        <f aca="false">IF(AND(ISNUMBER(J67),J67&gt;0),ROUND(J67*Assumptions!$B$4,2),"")</f>
        <v/>
      </c>
      <c r="Q67" s="7" t="str">
        <f aca="false">IF(AND(ISNUMBER(K67),ISNUMBER(O67)),IF(ROUND(K67*Assumptions!$B$4,2)=O67,"Equals 70%","Differs ("&amp;TEXT(O67/K67,"0%")&amp;" of B2C)"),"")</f>
        <v>Differs (55% of B2C)</v>
      </c>
      <c r="R67" s="7" t="s">
        <v>118</v>
      </c>
      <c r="S67" s="7"/>
      <c r="T67" s="7" t="s">
        <v>212</v>
      </c>
      <c r="U67" s="7" t="s">
        <v>120</v>
      </c>
      <c r="V67" s="7" t="s">
        <v>121</v>
      </c>
      <c r="W67" s="7" t="s">
        <v>117</v>
      </c>
      <c r="X67" s="7" t="s">
        <v>312</v>
      </c>
      <c r="Y67" s="7" t="s">
        <v>123</v>
      </c>
      <c r="Z67" s="7" t="s">
        <v>124</v>
      </c>
      <c r="AA67" s="7"/>
      <c r="AB67" s="7" t="s">
        <v>220</v>
      </c>
      <c r="AC67" s="7" t="n">
        <v>1</v>
      </c>
      <c r="AD67" s="7" t="n">
        <v>1</v>
      </c>
      <c r="AE67" s="7" t="n">
        <v>0</v>
      </c>
      <c r="AF67" s="7" t="n">
        <v>1</v>
      </c>
      <c r="AG67" s="7" t="n">
        <v>0</v>
      </c>
      <c r="AH67" s="7" t="n">
        <v>0</v>
      </c>
      <c r="AI67" s="7" t="n">
        <v>0</v>
      </c>
    </row>
    <row r="68" customFormat="false" ht="35.05" hidden="false" customHeight="false" outlineLevel="0" collapsed="false">
      <c r="A68" s="7" t="s">
        <v>323</v>
      </c>
      <c r="B68" s="7"/>
      <c r="C68" s="7" t="s">
        <v>324</v>
      </c>
      <c r="D68" s="7" t="s">
        <v>310</v>
      </c>
      <c r="E68" s="7" t="s">
        <v>207</v>
      </c>
      <c r="F68" s="7" t="s">
        <v>207</v>
      </c>
      <c r="G68" s="7"/>
      <c r="H68" s="7" t="s">
        <v>208</v>
      </c>
      <c r="I68" s="12" t="s">
        <v>311</v>
      </c>
      <c r="J68" s="10"/>
      <c r="K68" s="10" t="n">
        <v>1200</v>
      </c>
      <c r="L68" s="11"/>
      <c r="M68" s="7" t="s">
        <v>116</v>
      </c>
      <c r="N68" s="7" t="s">
        <v>117</v>
      </c>
      <c r="O68" s="10" t="n">
        <v>700</v>
      </c>
      <c r="P68" s="10" t="str">
        <f aca="false">IF(AND(ISNUMBER(J68),J68&gt;0),ROUND(J68*Assumptions!$B$4,2),"")</f>
        <v/>
      </c>
      <c r="Q68" s="7" t="str">
        <f aca="false">IF(AND(ISNUMBER(K68),ISNUMBER(O68)),IF(ROUND(K68*Assumptions!$B$4,2)=O68,"Equals 70%","Differs ("&amp;TEXT(O68/K68,"0%")&amp;" of B2C)"),"")</f>
        <v>Differs (58% of B2C)</v>
      </c>
      <c r="R68" s="7" t="s">
        <v>118</v>
      </c>
      <c r="S68" s="7"/>
      <c r="T68" s="7" t="s">
        <v>212</v>
      </c>
      <c r="U68" s="7" t="s">
        <v>120</v>
      </c>
      <c r="V68" s="7" t="s">
        <v>121</v>
      </c>
      <c r="W68" s="7" t="s">
        <v>117</v>
      </c>
      <c r="X68" s="7" t="s">
        <v>312</v>
      </c>
      <c r="Y68" s="7" t="s">
        <v>123</v>
      </c>
      <c r="Z68" s="7" t="s">
        <v>124</v>
      </c>
      <c r="AA68" s="7"/>
      <c r="AB68" s="7" t="s">
        <v>220</v>
      </c>
      <c r="AC68" s="7" t="n">
        <v>1</v>
      </c>
      <c r="AD68" s="7" t="n">
        <v>1</v>
      </c>
      <c r="AE68" s="7" t="n">
        <v>0</v>
      </c>
      <c r="AF68" s="7" t="n">
        <v>1</v>
      </c>
      <c r="AG68" s="7" t="n">
        <v>0</v>
      </c>
      <c r="AH68" s="7" t="n">
        <v>0</v>
      </c>
      <c r="AI68" s="7" t="n">
        <v>0</v>
      </c>
    </row>
    <row r="69" customFormat="false" ht="35.05" hidden="false" customHeight="false" outlineLevel="0" collapsed="false">
      <c r="A69" s="7" t="s">
        <v>325</v>
      </c>
      <c r="B69" s="7"/>
      <c r="C69" s="7" t="s">
        <v>326</v>
      </c>
      <c r="D69" s="7" t="s">
        <v>310</v>
      </c>
      <c r="E69" s="7" t="s">
        <v>207</v>
      </c>
      <c r="F69" s="7" t="s">
        <v>207</v>
      </c>
      <c r="G69" s="7"/>
      <c r="H69" s="7" t="s">
        <v>208</v>
      </c>
      <c r="I69" s="12" t="s">
        <v>311</v>
      </c>
      <c r="J69" s="10"/>
      <c r="K69" s="10" t="n">
        <v>600</v>
      </c>
      <c r="L69" s="11"/>
      <c r="M69" s="7" t="s">
        <v>116</v>
      </c>
      <c r="N69" s="7" t="s">
        <v>117</v>
      </c>
      <c r="O69" s="10" t="n">
        <v>320</v>
      </c>
      <c r="P69" s="10" t="str">
        <f aca="false">IF(AND(ISNUMBER(J69),J69&gt;0),ROUND(J69*Assumptions!$B$4,2),"")</f>
        <v/>
      </c>
      <c r="Q69" s="7" t="str">
        <f aca="false">IF(AND(ISNUMBER(K69),ISNUMBER(O69)),IF(ROUND(K69*Assumptions!$B$4,2)=O69,"Equals 70%","Differs ("&amp;TEXT(O69/K69,"0%")&amp;" of B2C)"),"")</f>
        <v>Differs (53% of B2C)</v>
      </c>
      <c r="R69" s="7" t="s">
        <v>118</v>
      </c>
      <c r="S69" s="7"/>
      <c r="T69" s="7" t="s">
        <v>212</v>
      </c>
      <c r="U69" s="7" t="s">
        <v>120</v>
      </c>
      <c r="V69" s="7" t="s">
        <v>121</v>
      </c>
      <c r="W69" s="7" t="s">
        <v>117</v>
      </c>
      <c r="X69" s="7" t="s">
        <v>312</v>
      </c>
      <c r="Y69" s="7" t="s">
        <v>123</v>
      </c>
      <c r="Z69" s="7" t="s">
        <v>124</v>
      </c>
      <c r="AA69" s="7"/>
      <c r="AB69" s="7" t="s">
        <v>220</v>
      </c>
      <c r="AC69" s="7" t="n">
        <v>1</v>
      </c>
      <c r="AD69" s="7" t="n">
        <v>1</v>
      </c>
      <c r="AE69" s="7" t="n">
        <v>0</v>
      </c>
      <c r="AF69" s="7" t="n">
        <v>1</v>
      </c>
      <c r="AG69" s="7" t="n">
        <v>0</v>
      </c>
      <c r="AH69" s="7" t="n">
        <v>0</v>
      </c>
      <c r="AI69" s="7" t="n">
        <v>0</v>
      </c>
    </row>
    <row r="70" customFormat="false" ht="35.05" hidden="false" customHeight="false" outlineLevel="0" collapsed="false">
      <c r="A70" s="7" t="s">
        <v>327</v>
      </c>
      <c r="B70" s="7" t="s">
        <v>328</v>
      </c>
      <c r="C70" s="7" t="s">
        <v>329</v>
      </c>
      <c r="D70" s="7" t="s">
        <v>310</v>
      </c>
      <c r="E70" s="7" t="s">
        <v>207</v>
      </c>
      <c r="F70" s="7" t="s">
        <v>207</v>
      </c>
      <c r="G70" s="7" t="s">
        <v>157</v>
      </c>
      <c r="H70" s="7" t="s">
        <v>208</v>
      </c>
      <c r="I70" s="12" t="s">
        <v>209</v>
      </c>
      <c r="J70" s="10" t="n">
        <v>600</v>
      </c>
      <c r="K70" s="10" t="n">
        <v>600</v>
      </c>
      <c r="L70" s="11"/>
      <c r="M70" s="7" t="s">
        <v>210</v>
      </c>
      <c r="N70" s="7" t="s">
        <v>129</v>
      </c>
      <c r="O70" s="10" t="n">
        <v>350</v>
      </c>
      <c r="P70" s="10" t="n">
        <f aca="false">IF(AND(ISNUMBER(J70),J70&gt;0),ROUND(J70*Assumptions!$B$4,2),"")</f>
        <v>420</v>
      </c>
      <c r="Q70" s="7" t="str">
        <f aca="false">IF(AND(ISNUMBER(K70),ISNUMBER(O70)),IF(ROUND(K70*Assumptions!$B$4,2)=O70,"Equals 70%","Differs ("&amp;TEXT(O70/K70,"0%")&amp;" of B2C)"),"")</f>
        <v>Differs (58% of B2C)</v>
      </c>
      <c r="R70" s="7" t="s">
        <v>211</v>
      </c>
      <c r="S70" s="7" t="s">
        <v>131</v>
      </c>
      <c r="T70" s="7" t="s">
        <v>212</v>
      </c>
      <c r="U70" s="7" t="s">
        <v>120</v>
      </c>
      <c r="V70" s="7" t="s">
        <v>121</v>
      </c>
      <c r="W70" s="7" t="s">
        <v>213</v>
      </c>
      <c r="X70" s="7" t="s">
        <v>320</v>
      </c>
      <c r="Y70" s="7" t="s">
        <v>124</v>
      </c>
      <c r="Z70" s="7" t="s">
        <v>124</v>
      </c>
      <c r="AA70" s="7"/>
      <c r="AB70" s="7" t="s">
        <v>215</v>
      </c>
      <c r="AC70" s="7" t="n">
        <v>1</v>
      </c>
      <c r="AD70" s="7" t="n">
        <v>1</v>
      </c>
      <c r="AE70" s="7" t="n">
        <v>1</v>
      </c>
      <c r="AF70" s="7" t="n">
        <v>1</v>
      </c>
      <c r="AG70" s="7" t="n">
        <v>0</v>
      </c>
      <c r="AH70" s="7" t="n">
        <v>0</v>
      </c>
      <c r="AI70" s="7" t="n">
        <v>0</v>
      </c>
    </row>
    <row r="71" customFormat="false" ht="35.05" hidden="false" customHeight="false" outlineLevel="0" collapsed="false">
      <c r="A71" s="7" t="s">
        <v>330</v>
      </c>
      <c r="B71" s="7"/>
      <c r="C71" s="7" t="s">
        <v>331</v>
      </c>
      <c r="D71" s="7" t="s">
        <v>310</v>
      </c>
      <c r="E71" s="7" t="s">
        <v>207</v>
      </c>
      <c r="F71" s="7" t="s">
        <v>207</v>
      </c>
      <c r="G71" s="7"/>
      <c r="H71" s="7" t="s">
        <v>208</v>
      </c>
      <c r="I71" s="12" t="s">
        <v>311</v>
      </c>
      <c r="J71" s="10"/>
      <c r="K71" s="10" t="n">
        <v>3500</v>
      </c>
      <c r="L71" s="11"/>
      <c r="M71" s="7" t="s">
        <v>116</v>
      </c>
      <c r="N71" s="7" t="s">
        <v>117</v>
      </c>
      <c r="O71" s="10" t="n">
        <v>2100</v>
      </c>
      <c r="P71" s="10" t="str">
        <f aca="false">IF(AND(ISNUMBER(J71),J71&gt;0),ROUND(J71*Assumptions!$B$4,2),"")</f>
        <v/>
      </c>
      <c r="Q71" s="7" t="str">
        <f aca="false">IF(AND(ISNUMBER(K71),ISNUMBER(O71)),IF(ROUND(K71*Assumptions!$B$4,2)=O71,"Equals 70%","Differs ("&amp;TEXT(O71/K71,"0%")&amp;" of B2C)"),"")</f>
        <v>Differs (60% of B2C)</v>
      </c>
      <c r="R71" s="7" t="s">
        <v>118</v>
      </c>
      <c r="S71" s="7"/>
      <c r="T71" s="7" t="s">
        <v>212</v>
      </c>
      <c r="U71" s="7" t="s">
        <v>120</v>
      </c>
      <c r="V71" s="7" t="s">
        <v>121</v>
      </c>
      <c r="W71" s="7" t="s">
        <v>117</v>
      </c>
      <c r="X71" s="7" t="s">
        <v>312</v>
      </c>
      <c r="Y71" s="7" t="s">
        <v>123</v>
      </c>
      <c r="Z71" s="7" t="s">
        <v>124</v>
      </c>
      <c r="AA71" s="7"/>
      <c r="AB71" s="7" t="s">
        <v>220</v>
      </c>
      <c r="AC71" s="7" t="n">
        <v>1</v>
      </c>
      <c r="AD71" s="7" t="n">
        <v>1</v>
      </c>
      <c r="AE71" s="7" t="n">
        <v>0</v>
      </c>
      <c r="AF71" s="7" t="n">
        <v>1</v>
      </c>
      <c r="AG71" s="7" t="n">
        <v>0</v>
      </c>
      <c r="AH71" s="7" t="n">
        <v>0</v>
      </c>
      <c r="AI71" s="7" t="n">
        <v>0</v>
      </c>
    </row>
    <row r="72" customFormat="false" ht="35.05" hidden="false" customHeight="false" outlineLevel="0" collapsed="false">
      <c r="A72" s="7" t="s">
        <v>332</v>
      </c>
      <c r="B72" s="7" t="s">
        <v>333</v>
      </c>
      <c r="C72" s="7" t="s">
        <v>334</v>
      </c>
      <c r="D72" s="7" t="s">
        <v>310</v>
      </c>
      <c r="E72" s="7" t="s">
        <v>207</v>
      </c>
      <c r="F72" s="7" t="s">
        <v>207</v>
      </c>
      <c r="G72" s="7" t="s">
        <v>157</v>
      </c>
      <c r="H72" s="7" t="s">
        <v>208</v>
      </c>
      <c r="I72" s="12" t="s">
        <v>209</v>
      </c>
      <c r="J72" s="10" t="n">
        <v>800</v>
      </c>
      <c r="K72" s="10" t="n">
        <v>800</v>
      </c>
      <c r="L72" s="11"/>
      <c r="M72" s="7" t="s">
        <v>210</v>
      </c>
      <c r="N72" s="7" t="s">
        <v>129</v>
      </c>
      <c r="O72" s="10" t="n">
        <v>450</v>
      </c>
      <c r="P72" s="10" t="n">
        <f aca="false">IF(AND(ISNUMBER(J72),J72&gt;0),ROUND(J72*Assumptions!$B$4,2),"")</f>
        <v>560</v>
      </c>
      <c r="Q72" s="7" t="str">
        <f aca="false">IF(AND(ISNUMBER(K72),ISNUMBER(O72)),IF(ROUND(K72*Assumptions!$B$4,2)=O72,"Equals 70%","Differs ("&amp;TEXT(O72/K72,"0%")&amp;" of B2C)"),"")</f>
        <v>Differs (56% of B2C)</v>
      </c>
      <c r="R72" s="7" t="s">
        <v>211</v>
      </c>
      <c r="S72" s="7" t="s">
        <v>131</v>
      </c>
      <c r="T72" s="7" t="s">
        <v>212</v>
      </c>
      <c r="U72" s="7" t="s">
        <v>120</v>
      </c>
      <c r="V72" s="7" t="s">
        <v>121</v>
      </c>
      <c r="W72" s="7" t="s">
        <v>213</v>
      </c>
      <c r="X72" s="7" t="s">
        <v>320</v>
      </c>
      <c r="Y72" s="7" t="s">
        <v>124</v>
      </c>
      <c r="Z72" s="7" t="s">
        <v>124</v>
      </c>
      <c r="AA72" s="7"/>
      <c r="AB72" s="7" t="s">
        <v>215</v>
      </c>
      <c r="AC72" s="7" t="n">
        <v>1</v>
      </c>
      <c r="AD72" s="7" t="n">
        <v>1</v>
      </c>
      <c r="AE72" s="7" t="n">
        <v>1</v>
      </c>
      <c r="AF72" s="7" t="n">
        <v>1</v>
      </c>
      <c r="AG72" s="7" t="n">
        <v>0</v>
      </c>
      <c r="AH72" s="7" t="n">
        <v>0</v>
      </c>
      <c r="AI72" s="7" t="n">
        <v>0</v>
      </c>
    </row>
    <row r="73" customFormat="false" ht="35.05" hidden="false" customHeight="false" outlineLevel="0" collapsed="false">
      <c r="A73" s="7" t="s">
        <v>335</v>
      </c>
      <c r="B73" s="7" t="s">
        <v>336</v>
      </c>
      <c r="C73" s="7" t="s">
        <v>337</v>
      </c>
      <c r="D73" s="7" t="s">
        <v>310</v>
      </c>
      <c r="E73" s="7" t="s">
        <v>207</v>
      </c>
      <c r="F73" s="7" t="s">
        <v>207</v>
      </c>
      <c r="G73" s="7" t="s">
        <v>157</v>
      </c>
      <c r="H73" s="7" t="s">
        <v>208</v>
      </c>
      <c r="I73" s="12" t="s">
        <v>209</v>
      </c>
      <c r="J73" s="10" t="n">
        <v>750</v>
      </c>
      <c r="K73" s="10" t="n">
        <v>750</v>
      </c>
      <c r="L73" s="11"/>
      <c r="M73" s="7" t="s">
        <v>210</v>
      </c>
      <c r="N73" s="7" t="s">
        <v>129</v>
      </c>
      <c r="O73" s="10" t="n">
        <v>420</v>
      </c>
      <c r="P73" s="10" t="n">
        <f aca="false">IF(AND(ISNUMBER(J73),J73&gt;0),ROUND(J73*Assumptions!$B$4,2),"")</f>
        <v>525</v>
      </c>
      <c r="Q73" s="7" t="str">
        <f aca="false">IF(AND(ISNUMBER(K73),ISNUMBER(O73)),IF(ROUND(K73*Assumptions!$B$4,2)=O73,"Equals 70%","Differs ("&amp;TEXT(O73/K73,"0%")&amp;" of B2C)"),"")</f>
        <v>Differs (56% of B2C)</v>
      </c>
      <c r="R73" s="7" t="s">
        <v>211</v>
      </c>
      <c r="S73" s="7" t="s">
        <v>131</v>
      </c>
      <c r="T73" s="7" t="s">
        <v>212</v>
      </c>
      <c r="U73" s="7" t="s">
        <v>120</v>
      </c>
      <c r="V73" s="7" t="s">
        <v>121</v>
      </c>
      <c r="W73" s="7" t="s">
        <v>213</v>
      </c>
      <c r="X73" s="7" t="s">
        <v>320</v>
      </c>
      <c r="Y73" s="7" t="s">
        <v>124</v>
      </c>
      <c r="Z73" s="7" t="s">
        <v>124</v>
      </c>
      <c r="AA73" s="7"/>
      <c r="AB73" s="7" t="s">
        <v>215</v>
      </c>
      <c r="AC73" s="7" t="n">
        <v>1</v>
      </c>
      <c r="AD73" s="7" t="n">
        <v>1</v>
      </c>
      <c r="AE73" s="7" t="n">
        <v>1</v>
      </c>
      <c r="AF73" s="7" t="n">
        <v>1</v>
      </c>
      <c r="AG73" s="7" t="n">
        <v>0</v>
      </c>
      <c r="AH73" s="7" t="n">
        <v>0</v>
      </c>
      <c r="AI73" s="7" t="n">
        <v>0</v>
      </c>
    </row>
    <row r="74" customFormat="false" ht="35.05" hidden="false" customHeight="false" outlineLevel="0" collapsed="false">
      <c r="A74" s="7" t="s">
        <v>338</v>
      </c>
      <c r="B74" s="7" t="s">
        <v>339</v>
      </c>
      <c r="C74" s="7" t="s">
        <v>340</v>
      </c>
      <c r="D74" s="7" t="s">
        <v>310</v>
      </c>
      <c r="E74" s="7" t="s">
        <v>207</v>
      </c>
      <c r="F74" s="7" t="s">
        <v>207</v>
      </c>
      <c r="G74" s="7" t="s">
        <v>157</v>
      </c>
      <c r="H74" s="7" t="s">
        <v>208</v>
      </c>
      <c r="I74" s="12" t="s">
        <v>209</v>
      </c>
      <c r="J74" s="10" t="n">
        <v>700</v>
      </c>
      <c r="K74" s="10" t="n">
        <v>700</v>
      </c>
      <c r="L74" s="11"/>
      <c r="M74" s="7" t="s">
        <v>210</v>
      </c>
      <c r="N74" s="7" t="s">
        <v>129</v>
      </c>
      <c r="O74" s="10" t="n">
        <v>380</v>
      </c>
      <c r="P74" s="10" t="n">
        <f aca="false">IF(AND(ISNUMBER(J74),J74&gt;0),ROUND(J74*Assumptions!$B$4,2),"")</f>
        <v>490</v>
      </c>
      <c r="Q74" s="7" t="str">
        <f aca="false">IF(AND(ISNUMBER(K74),ISNUMBER(O74)),IF(ROUND(K74*Assumptions!$B$4,2)=O74,"Equals 70%","Differs ("&amp;TEXT(O74/K74,"0%")&amp;" of B2C)"),"")</f>
        <v>Differs (54% of B2C)</v>
      </c>
      <c r="R74" s="7" t="s">
        <v>211</v>
      </c>
      <c r="S74" s="7" t="s">
        <v>131</v>
      </c>
      <c r="T74" s="7" t="s">
        <v>212</v>
      </c>
      <c r="U74" s="7" t="s">
        <v>120</v>
      </c>
      <c r="V74" s="7" t="s">
        <v>121</v>
      </c>
      <c r="W74" s="7" t="s">
        <v>213</v>
      </c>
      <c r="X74" s="7" t="s">
        <v>320</v>
      </c>
      <c r="Y74" s="7" t="s">
        <v>124</v>
      </c>
      <c r="Z74" s="7" t="s">
        <v>124</v>
      </c>
      <c r="AA74" s="7"/>
      <c r="AB74" s="7" t="s">
        <v>215</v>
      </c>
      <c r="AC74" s="7" t="n">
        <v>1</v>
      </c>
      <c r="AD74" s="7" t="n">
        <v>1</v>
      </c>
      <c r="AE74" s="7" t="n">
        <v>1</v>
      </c>
      <c r="AF74" s="7" t="n">
        <v>1</v>
      </c>
      <c r="AG74" s="7" t="n">
        <v>0</v>
      </c>
      <c r="AH74" s="7" t="n">
        <v>0</v>
      </c>
      <c r="AI74" s="7" t="n">
        <v>0</v>
      </c>
    </row>
    <row r="75" customFormat="false" ht="35.05" hidden="false" customHeight="false" outlineLevel="0" collapsed="false">
      <c r="A75" s="7" t="s">
        <v>341</v>
      </c>
      <c r="B75" s="7" t="s">
        <v>342</v>
      </c>
      <c r="C75" s="7" t="s">
        <v>343</v>
      </c>
      <c r="D75" s="7" t="s">
        <v>310</v>
      </c>
      <c r="E75" s="7" t="s">
        <v>207</v>
      </c>
      <c r="F75" s="7" t="s">
        <v>207</v>
      </c>
      <c r="G75" s="7" t="s">
        <v>157</v>
      </c>
      <c r="H75" s="7" t="s">
        <v>208</v>
      </c>
      <c r="I75" s="12" t="s">
        <v>209</v>
      </c>
      <c r="J75" s="10" t="n">
        <v>2800</v>
      </c>
      <c r="K75" s="10" t="n">
        <v>2800</v>
      </c>
      <c r="L75" s="11"/>
      <c r="M75" s="7" t="s">
        <v>210</v>
      </c>
      <c r="N75" s="7" t="s">
        <v>129</v>
      </c>
      <c r="O75" s="10" t="n">
        <v>1600</v>
      </c>
      <c r="P75" s="10" t="n">
        <f aca="false">IF(AND(ISNUMBER(J75),J75&gt;0),ROUND(J75*Assumptions!$B$4,2),"")</f>
        <v>1960</v>
      </c>
      <c r="Q75" s="7" t="str">
        <f aca="false">IF(AND(ISNUMBER(K75),ISNUMBER(O75)),IF(ROUND(K75*Assumptions!$B$4,2)=O75,"Equals 70%","Differs ("&amp;TEXT(O75/K75,"0%")&amp;" of B2C)"),"")</f>
        <v>Differs (57% of B2C)</v>
      </c>
      <c r="R75" s="7" t="s">
        <v>211</v>
      </c>
      <c r="S75" s="7" t="s">
        <v>131</v>
      </c>
      <c r="T75" s="7" t="s">
        <v>212</v>
      </c>
      <c r="U75" s="7" t="s">
        <v>120</v>
      </c>
      <c r="V75" s="7" t="s">
        <v>121</v>
      </c>
      <c r="W75" s="7" t="s">
        <v>213</v>
      </c>
      <c r="X75" s="7" t="s">
        <v>320</v>
      </c>
      <c r="Y75" s="7" t="s">
        <v>124</v>
      </c>
      <c r="Z75" s="7" t="s">
        <v>124</v>
      </c>
      <c r="AA75" s="7"/>
      <c r="AB75" s="7" t="s">
        <v>215</v>
      </c>
      <c r="AC75" s="7" t="n">
        <v>1</v>
      </c>
      <c r="AD75" s="7" t="n">
        <v>1</v>
      </c>
      <c r="AE75" s="7" t="n">
        <v>1</v>
      </c>
      <c r="AF75" s="7" t="n">
        <v>1</v>
      </c>
      <c r="AG75" s="7" t="n">
        <v>0</v>
      </c>
      <c r="AH75" s="7" t="n">
        <v>0</v>
      </c>
      <c r="AI75" s="7" t="n">
        <v>0</v>
      </c>
    </row>
    <row r="76" customFormat="false" ht="35.05" hidden="false" customHeight="false" outlineLevel="0" collapsed="false">
      <c r="A76" s="7" t="s">
        <v>344</v>
      </c>
      <c r="B76" s="7"/>
      <c r="C76" s="7" t="s">
        <v>345</v>
      </c>
      <c r="D76" s="7" t="s">
        <v>310</v>
      </c>
      <c r="E76" s="7" t="s">
        <v>207</v>
      </c>
      <c r="F76" s="7" t="s">
        <v>207</v>
      </c>
      <c r="G76" s="7"/>
      <c r="H76" s="7" t="s">
        <v>208</v>
      </c>
      <c r="I76" s="12" t="s">
        <v>311</v>
      </c>
      <c r="J76" s="10"/>
      <c r="K76" s="10" t="n">
        <v>2500</v>
      </c>
      <c r="L76" s="11"/>
      <c r="M76" s="7" t="s">
        <v>116</v>
      </c>
      <c r="N76" s="7" t="s">
        <v>117</v>
      </c>
      <c r="O76" s="10" t="n">
        <v>1600</v>
      </c>
      <c r="P76" s="10" t="str">
        <f aca="false">IF(AND(ISNUMBER(J76),J76&gt;0),ROUND(J76*Assumptions!$B$4,2),"")</f>
        <v/>
      </c>
      <c r="Q76" s="7" t="str">
        <f aca="false">IF(AND(ISNUMBER(K76),ISNUMBER(O76)),IF(ROUND(K76*Assumptions!$B$4,2)=O76,"Equals 70%","Differs ("&amp;TEXT(O76/K76,"0%")&amp;" of B2C)"),"")</f>
        <v>Differs (64% of B2C)</v>
      </c>
      <c r="R76" s="7" t="s">
        <v>118</v>
      </c>
      <c r="S76" s="7"/>
      <c r="T76" s="7" t="s">
        <v>212</v>
      </c>
      <c r="U76" s="7" t="s">
        <v>120</v>
      </c>
      <c r="V76" s="7" t="s">
        <v>121</v>
      </c>
      <c r="W76" s="7" t="s">
        <v>117</v>
      </c>
      <c r="X76" s="7" t="s">
        <v>312</v>
      </c>
      <c r="Y76" s="7" t="s">
        <v>123</v>
      </c>
      <c r="Z76" s="7" t="s">
        <v>124</v>
      </c>
      <c r="AA76" s="7"/>
      <c r="AB76" s="7" t="s">
        <v>220</v>
      </c>
      <c r="AC76" s="7" t="n">
        <v>1</v>
      </c>
      <c r="AD76" s="7" t="n">
        <v>1</v>
      </c>
      <c r="AE76" s="7" t="n">
        <v>0</v>
      </c>
      <c r="AF76" s="7" t="n">
        <v>1</v>
      </c>
      <c r="AG76" s="7" t="n">
        <v>0</v>
      </c>
      <c r="AH76" s="7" t="n">
        <v>0</v>
      </c>
      <c r="AI76" s="7" t="n">
        <v>0</v>
      </c>
    </row>
    <row r="77" customFormat="false" ht="35.05" hidden="false" customHeight="false" outlineLevel="0" collapsed="false">
      <c r="A77" s="7" t="s">
        <v>346</v>
      </c>
      <c r="B77" s="7"/>
      <c r="C77" s="7" t="s">
        <v>347</v>
      </c>
      <c r="D77" s="7" t="s">
        <v>310</v>
      </c>
      <c r="E77" s="7" t="s">
        <v>207</v>
      </c>
      <c r="F77" s="7" t="s">
        <v>207</v>
      </c>
      <c r="G77" s="7"/>
      <c r="H77" s="7" t="s">
        <v>208</v>
      </c>
      <c r="I77" s="12" t="s">
        <v>311</v>
      </c>
      <c r="J77" s="10"/>
      <c r="K77" s="10" t="n">
        <v>450</v>
      </c>
      <c r="L77" s="11"/>
      <c r="M77" s="7" t="s">
        <v>116</v>
      </c>
      <c r="N77" s="7" t="s">
        <v>117</v>
      </c>
      <c r="O77" s="10" t="n">
        <v>250</v>
      </c>
      <c r="P77" s="10" t="str">
        <f aca="false">IF(AND(ISNUMBER(J77),J77&gt;0),ROUND(J77*Assumptions!$B$4,2),"")</f>
        <v/>
      </c>
      <c r="Q77" s="7" t="str">
        <f aca="false">IF(AND(ISNUMBER(K77),ISNUMBER(O77)),IF(ROUND(K77*Assumptions!$B$4,2)=O77,"Equals 70%","Differs ("&amp;TEXT(O77/K77,"0%")&amp;" of B2C)"),"")</f>
        <v>Differs (56% of B2C)</v>
      </c>
      <c r="R77" s="7" t="s">
        <v>118</v>
      </c>
      <c r="S77" s="7"/>
      <c r="T77" s="7" t="s">
        <v>212</v>
      </c>
      <c r="U77" s="7" t="s">
        <v>120</v>
      </c>
      <c r="V77" s="7" t="s">
        <v>121</v>
      </c>
      <c r="W77" s="7" t="s">
        <v>117</v>
      </c>
      <c r="X77" s="7" t="s">
        <v>312</v>
      </c>
      <c r="Y77" s="7" t="s">
        <v>123</v>
      </c>
      <c r="Z77" s="7" t="s">
        <v>124</v>
      </c>
      <c r="AA77" s="7"/>
      <c r="AB77" s="7" t="s">
        <v>220</v>
      </c>
      <c r="AC77" s="7" t="n">
        <v>1</v>
      </c>
      <c r="AD77" s="7" t="n">
        <v>1</v>
      </c>
      <c r="AE77" s="7" t="n">
        <v>0</v>
      </c>
      <c r="AF77" s="7" t="n">
        <v>1</v>
      </c>
      <c r="AG77" s="7" t="n">
        <v>0</v>
      </c>
      <c r="AH77" s="7" t="n">
        <v>0</v>
      </c>
      <c r="AI77" s="7" t="n">
        <v>0</v>
      </c>
    </row>
    <row r="78" customFormat="false" ht="35.05" hidden="false" customHeight="false" outlineLevel="0" collapsed="false">
      <c r="A78" s="7" t="s">
        <v>348</v>
      </c>
      <c r="B78" s="7" t="s">
        <v>349</v>
      </c>
      <c r="C78" s="7" t="s">
        <v>350</v>
      </c>
      <c r="D78" s="7" t="s">
        <v>310</v>
      </c>
      <c r="E78" s="7" t="s">
        <v>207</v>
      </c>
      <c r="F78" s="7" t="s">
        <v>207</v>
      </c>
      <c r="G78" s="7" t="s">
        <v>157</v>
      </c>
      <c r="H78" s="7" t="s">
        <v>208</v>
      </c>
      <c r="I78" s="12" t="s">
        <v>209</v>
      </c>
      <c r="J78" s="10" t="n">
        <v>650</v>
      </c>
      <c r="K78" s="10" t="n">
        <v>650</v>
      </c>
      <c r="L78" s="11"/>
      <c r="M78" s="7" t="s">
        <v>210</v>
      </c>
      <c r="N78" s="7" t="s">
        <v>129</v>
      </c>
      <c r="O78" s="10" t="n">
        <v>350</v>
      </c>
      <c r="P78" s="10" t="n">
        <f aca="false">IF(AND(ISNUMBER(J78),J78&gt;0),ROUND(J78*Assumptions!$B$4,2),"")</f>
        <v>455</v>
      </c>
      <c r="Q78" s="7" t="str">
        <f aca="false">IF(AND(ISNUMBER(K78),ISNUMBER(O78)),IF(ROUND(K78*Assumptions!$B$4,2)=O78,"Equals 70%","Differs ("&amp;TEXT(O78/K78,"0%")&amp;" of B2C)"),"")</f>
        <v>Differs (54% of B2C)</v>
      </c>
      <c r="R78" s="7" t="s">
        <v>211</v>
      </c>
      <c r="S78" s="7" t="s">
        <v>131</v>
      </c>
      <c r="T78" s="7" t="s">
        <v>212</v>
      </c>
      <c r="U78" s="7" t="s">
        <v>120</v>
      </c>
      <c r="V78" s="7" t="s">
        <v>121</v>
      </c>
      <c r="W78" s="7" t="s">
        <v>213</v>
      </c>
      <c r="X78" s="7" t="s">
        <v>320</v>
      </c>
      <c r="Y78" s="7" t="s">
        <v>124</v>
      </c>
      <c r="Z78" s="7" t="s">
        <v>124</v>
      </c>
      <c r="AA78" s="7"/>
      <c r="AB78" s="7" t="s">
        <v>215</v>
      </c>
      <c r="AC78" s="7" t="n">
        <v>1</v>
      </c>
      <c r="AD78" s="7" t="n">
        <v>1</v>
      </c>
      <c r="AE78" s="7" t="n">
        <v>1</v>
      </c>
      <c r="AF78" s="7" t="n">
        <v>1</v>
      </c>
      <c r="AG78" s="7" t="n">
        <v>0</v>
      </c>
      <c r="AH78" s="7" t="n">
        <v>0</v>
      </c>
      <c r="AI78" s="7" t="n">
        <v>0</v>
      </c>
    </row>
    <row r="79" customFormat="false" ht="35.05" hidden="false" customHeight="false" outlineLevel="0" collapsed="false">
      <c r="A79" s="7" t="s">
        <v>351</v>
      </c>
      <c r="B79" s="7"/>
      <c r="C79" s="7" t="s">
        <v>352</v>
      </c>
      <c r="D79" s="7" t="s">
        <v>310</v>
      </c>
      <c r="E79" s="7" t="s">
        <v>207</v>
      </c>
      <c r="F79" s="7" t="s">
        <v>207</v>
      </c>
      <c r="G79" s="7"/>
      <c r="H79" s="7" t="s">
        <v>208</v>
      </c>
      <c r="I79" s="12" t="s">
        <v>311</v>
      </c>
      <c r="J79" s="10"/>
      <c r="K79" s="10" t="n">
        <v>300</v>
      </c>
      <c r="L79" s="11"/>
      <c r="M79" s="7" t="s">
        <v>116</v>
      </c>
      <c r="N79" s="7" t="s">
        <v>117</v>
      </c>
      <c r="O79" s="10" t="n">
        <v>150</v>
      </c>
      <c r="P79" s="10" t="str">
        <f aca="false">IF(AND(ISNUMBER(J79),J79&gt;0),ROUND(J79*Assumptions!$B$4,2),"")</f>
        <v/>
      </c>
      <c r="Q79" s="7" t="str">
        <f aca="false">IF(AND(ISNUMBER(K79),ISNUMBER(O79)),IF(ROUND(K79*Assumptions!$B$4,2)=O79,"Equals 70%","Differs ("&amp;TEXT(O79/K79,"0%")&amp;" of B2C)"),"")</f>
        <v>Differs (50% of B2C)</v>
      </c>
      <c r="R79" s="7" t="s">
        <v>118</v>
      </c>
      <c r="S79" s="7"/>
      <c r="T79" s="7" t="s">
        <v>212</v>
      </c>
      <c r="U79" s="7" t="s">
        <v>120</v>
      </c>
      <c r="V79" s="7" t="s">
        <v>121</v>
      </c>
      <c r="W79" s="7" t="s">
        <v>117</v>
      </c>
      <c r="X79" s="7" t="s">
        <v>312</v>
      </c>
      <c r="Y79" s="7" t="s">
        <v>123</v>
      </c>
      <c r="Z79" s="7" t="s">
        <v>124</v>
      </c>
      <c r="AA79" s="7"/>
      <c r="AB79" s="7" t="s">
        <v>220</v>
      </c>
      <c r="AC79" s="7" t="n">
        <v>1</v>
      </c>
      <c r="AD79" s="7" t="n">
        <v>1</v>
      </c>
      <c r="AE79" s="7" t="n">
        <v>0</v>
      </c>
      <c r="AF79" s="7" t="n">
        <v>1</v>
      </c>
      <c r="AG79" s="7" t="n">
        <v>0</v>
      </c>
      <c r="AH79" s="7" t="n">
        <v>0</v>
      </c>
      <c r="AI79" s="7" t="n">
        <v>0</v>
      </c>
    </row>
    <row r="80" customFormat="false" ht="35.05" hidden="false" customHeight="false" outlineLevel="0" collapsed="false">
      <c r="A80" s="7" t="s">
        <v>353</v>
      </c>
      <c r="B80" s="7"/>
      <c r="C80" s="7" t="s">
        <v>354</v>
      </c>
      <c r="D80" s="7" t="s">
        <v>310</v>
      </c>
      <c r="E80" s="7" t="s">
        <v>207</v>
      </c>
      <c r="F80" s="7" t="s">
        <v>207</v>
      </c>
      <c r="G80" s="7"/>
      <c r="H80" s="7" t="s">
        <v>208</v>
      </c>
      <c r="I80" s="12" t="s">
        <v>311</v>
      </c>
      <c r="J80" s="10"/>
      <c r="K80" s="10" t="n">
        <v>900</v>
      </c>
      <c r="L80" s="11"/>
      <c r="M80" s="7" t="s">
        <v>116</v>
      </c>
      <c r="N80" s="7" t="s">
        <v>117</v>
      </c>
      <c r="O80" s="10" t="n">
        <v>500</v>
      </c>
      <c r="P80" s="10" t="str">
        <f aca="false">IF(AND(ISNUMBER(J80),J80&gt;0),ROUND(J80*Assumptions!$B$4,2),"")</f>
        <v/>
      </c>
      <c r="Q80" s="7" t="str">
        <f aca="false">IF(AND(ISNUMBER(K80),ISNUMBER(O80)),IF(ROUND(K80*Assumptions!$B$4,2)=O80,"Equals 70%","Differs ("&amp;TEXT(O80/K80,"0%")&amp;" of B2C)"),"")</f>
        <v>Differs (56% of B2C)</v>
      </c>
      <c r="R80" s="7" t="s">
        <v>118</v>
      </c>
      <c r="S80" s="7"/>
      <c r="T80" s="7" t="s">
        <v>212</v>
      </c>
      <c r="U80" s="7" t="s">
        <v>120</v>
      </c>
      <c r="V80" s="7" t="s">
        <v>121</v>
      </c>
      <c r="W80" s="7" t="s">
        <v>117</v>
      </c>
      <c r="X80" s="7" t="s">
        <v>312</v>
      </c>
      <c r="Y80" s="7" t="s">
        <v>123</v>
      </c>
      <c r="Z80" s="7" t="s">
        <v>124</v>
      </c>
      <c r="AA80" s="7"/>
      <c r="AB80" s="7" t="s">
        <v>220</v>
      </c>
      <c r="AC80" s="7" t="n">
        <v>1</v>
      </c>
      <c r="AD80" s="7" t="n">
        <v>1</v>
      </c>
      <c r="AE80" s="7" t="n">
        <v>0</v>
      </c>
      <c r="AF80" s="7" t="n">
        <v>1</v>
      </c>
      <c r="AG80" s="7" t="n">
        <v>0</v>
      </c>
      <c r="AH80" s="7" t="n">
        <v>0</v>
      </c>
      <c r="AI80" s="7" t="n">
        <v>0</v>
      </c>
    </row>
    <row r="81" customFormat="false" ht="35.05" hidden="false" customHeight="false" outlineLevel="0" collapsed="false">
      <c r="A81" s="7" t="s">
        <v>355</v>
      </c>
      <c r="B81" s="7"/>
      <c r="C81" s="7" t="s">
        <v>356</v>
      </c>
      <c r="D81" s="7" t="s">
        <v>310</v>
      </c>
      <c r="E81" s="7" t="s">
        <v>207</v>
      </c>
      <c r="F81" s="7" t="s">
        <v>207</v>
      </c>
      <c r="G81" s="7"/>
      <c r="H81" s="7" t="s">
        <v>208</v>
      </c>
      <c r="I81" s="12" t="s">
        <v>311</v>
      </c>
      <c r="J81" s="10"/>
      <c r="K81" s="10" t="n">
        <v>1200</v>
      </c>
      <c r="L81" s="11"/>
      <c r="M81" s="7" t="s">
        <v>116</v>
      </c>
      <c r="N81" s="7" t="s">
        <v>117</v>
      </c>
      <c r="O81" s="10" t="n">
        <v>650</v>
      </c>
      <c r="P81" s="10" t="str">
        <f aca="false">IF(AND(ISNUMBER(J81),J81&gt;0),ROUND(J81*Assumptions!$B$4,2),"")</f>
        <v/>
      </c>
      <c r="Q81" s="7" t="str">
        <f aca="false">IF(AND(ISNUMBER(K81),ISNUMBER(O81)),IF(ROUND(K81*Assumptions!$B$4,2)=O81,"Equals 70%","Differs ("&amp;TEXT(O81/K81,"0%")&amp;" of B2C)"),"")</f>
        <v>Differs (54% of B2C)</v>
      </c>
      <c r="R81" s="7" t="s">
        <v>118</v>
      </c>
      <c r="S81" s="7"/>
      <c r="T81" s="7" t="s">
        <v>212</v>
      </c>
      <c r="U81" s="7" t="s">
        <v>120</v>
      </c>
      <c r="V81" s="7" t="s">
        <v>121</v>
      </c>
      <c r="W81" s="7" t="s">
        <v>117</v>
      </c>
      <c r="X81" s="7" t="s">
        <v>312</v>
      </c>
      <c r="Y81" s="7" t="s">
        <v>123</v>
      </c>
      <c r="Z81" s="7" t="s">
        <v>124</v>
      </c>
      <c r="AA81" s="7"/>
      <c r="AB81" s="7" t="s">
        <v>220</v>
      </c>
      <c r="AC81" s="7" t="n">
        <v>1</v>
      </c>
      <c r="AD81" s="7" t="n">
        <v>1</v>
      </c>
      <c r="AE81" s="7" t="n">
        <v>0</v>
      </c>
      <c r="AF81" s="7" t="n">
        <v>1</v>
      </c>
      <c r="AG81" s="7" t="n">
        <v>0</v>
      </c>
      <c r="AH81" s="7" t="n">
        <v>0</v>
      </c>
      <c r="AI81" s="7" t="n">
        <v>0</v>
      </c>
    </row>
    <row r="82" customFormat="false" ht="35.05" hidden="false" customHeight="false" outlineLevel="0" collapsed="false">
      <c r="A82" s="7" t="s">
        <v>357</v>
      </c>
      <c r="B82" s="7"/>
      <c r="C82" s="7" t="s">
        <v>358</v>
      </c>
      <c r="D82" s="7" t="s">
        <v>359</v>
      </c>
      <c r="E82" s="7" t="s">
        <v>113</v>
      </c>
      <c r="F82" s="7" t="s">
        <v>113</v>
      </c>
      <c r="G82" s="7"/>
      <c r="H82" s="7" t="s">
        <v>360</v>
      </c>
      <c r="I82" s="7" t="s">
        <v>151</v>
      </c>
      <c r="J82" s="10"/>
      <c r="K82" s="10" t="n">
        <v>1200</v>
      </c>
      <c r="L82" s="11"/>
      <c r="M82" s="7" t="s">
        <v>116</v>
      </c>
      <c r="N82" s="7" t="s">
        <v>117</v>
      </c>
      <c r="O82" s="10" t="n">
        <v>800</v>
      </c>
      <c r="P82" s="10" t="str">
        <f aca="false">IF(AND(ISNUMBER(J82),J82&gt;0),ROUND(J82*Assumptions!$B$4,2),"")</f>
        <v/>
      </c>
      <c r="Q82" s="7" t="str">
        <f aca="false">IF(AND(ISNUMBER(K82),ISNUMBER(O82)),IF(ROUND(K82*Assumptions!$B$4,2)=O82,"Equals 70%","Differs ("&amp;TEXT(O82/K82,"0%")&amp;" of B2C)"),"")</f>
        <v>Differs (67% of B2C)</v>
      </c>
      <c r="R82" s="7" t="s">
        <v>118</v>
      </c>
      <c r="S82" s="7"/>
      <c r="T82" s="7" t="s">
        <v>212</v>
      </c>
      <c r="U82" s="7" t="s">
        <v>120</v>
      </c>
      <c r="V82" s="7" t="s">
        <v>121</v>
      </c>
      <c r="W82" s="7" t="s">
        <v>117</v>
      </c>
      <c r="X82" s="7" t="s">
        <v>361</v>
      </c>
      <c r="Y82" s="7" t="s">
        <v>123</v>
      </c>
      <c r="Z82" s="7" t="s">
        <v>124</v>
      </c>
      <c r="AA82" s="7"/>
      <c r="AB82" s="7" t="s">
        <v>154</v>
      </c>
      <c r="AC82" s="7" t="n">
        <v>0</v>
      </c>
      <c r="AD82" s="7" t="n">
        <v>1</v>
      </c>
      <c r="AE82" s="7" t="n">
        <v>0</v>
      </c>
      <c r="AF82" s="7" t="n">
        <v>1</v>
      </c>
      <c r="AG82" s="7" t="n">
        <v>0</v>
      </c>
      <c r="AH82" s="7" t="n">
        <v>0</v>
      </c>
      <c r="AI82" s="7" t="n">
        <v>0</v>
      </c>
    </row>
    <row r="83" customFormat="false" ht="35.05" hidden="false" customHeight="false" outlineLevel="0" collapsed="false">
      <c r="A83" s="7" t="s">
        <v>362</v>
      </c>
      <c r="B83" s="7"/>
      <c r="C83" s="7" t="s">
        <v>363</v>
      </c>
      <c r="D83" s="7" t="s">
        <v>359</v>
      </c>
      <c r="E83" s="7" t="s">
        <v>113</v>
      </c>
      <c r="F83" s="7" t="s">
        <v>113</v>
      </c>
      <c r="G83" s="7"/>
      <c r="H83" s="7" t="s">
        <v>360</v>
      </c>
      <c r="I83" s="7" t="s">
        <v>151</v>
      </c>
      <c r="J83" s="10"/>
      <c r="K83" s="10" t="n">
        <v>900</v>
      </c>
      <c r="L83" s="11"/>
      <c r="M83" s="7" t="s">
        <v>116</v>
      </c>
      <c r="N83" s="7" t="s">
        <v>117</v>
      </c>
      <c r="O83" s="10" t="n">
        <v>600</v>
      </c>
      <c r="P83" s="10" t="str">
        <f aca="false">IF(AND(ISNUMBER(J83),J83&gt;0),ROUND(J83*Assumptions!$B$4,2),"")</f>
        <v/>
      </c>
      <c r="Q83" s="7" t="str">
        <f aca="false">IF(AND(ISNUMBER(K83),ISNUMBER(O83)),IF(ROUND(K83*Assumptions!$B$4,2)=O83,"Equals 70%","Differs ("&amp;TEXT(O83/K83,"0%")&amp;" of B2C)"),"")</f>
        <v>Differs (67% of B2C)</v>
      </c>
      <c r="R83" s="7" t="s">
        <v>118</v>
      </c>
      <c r="S83" s="7"/>
      <c r="T83" s="7" t="s">
        <v>212</v>
      </c>
      <c r="U83" s="7" t="s">
        <v>120</v>
      </c>
      <c r="V83" s="7" t="s">
        <v>121</v>
      </c>
      <c r="W83" s="7" t="s">
        <v>117</v>
      </c>
      <c r="X83" s="7" t="s">
        <v>361</v>
      </c>
      <c r="Y83" s="7" t="s">
        <v>123</v>
      </c>
      <c r="Z83" s="7" t="s">
        <v>124</v>
      </c>
      <c r="AA83" s="7"/>
      <c r="AB83" s="7" t="s">
        <v>154</v>
      </c>
      <c r="AC83" s="7" t="n">
        <v>0</v>
      </c>
      <c r="AD83" s="7" t="n">
        <v>1</v>
      </c>
      <c r="AE83" s="7" t="n">
        <v>0</v>
      </c>
      <c r="AF83" s="7" t="n">
        <v>1</v>
      </c>
      <c r="AG83" s="7" t="n">
        <v>0</v>
      </c>
      <c r="AH83" s="7" t="n">
        <v>0</v>
      </c>
      <c r="AI83" s="7" t="n">
        <v>0</v>
      </c>
    </row>
    <row r="84" customFormat="false" ht="35.05" hidden="false" customHeight="false" outlineLevel="0" collapsed="false">
      <c r="A84" s="7" t="s">
        <v>364</v>
      </c>
      <c r="B84" s="7"/>
      <c r="C84" s="7" t="s">
        <v>365</v>
      </c>
      <c r="D84" s="7" t="s">
        <v>359</v>
      </c>
      <c r="E84" s="7" t="s">
        <v>113</v>
      </c>
      <c r="F84" s="7" t="s">
        <v>113</v>
      </c>
      <c r="G84" s="7"/>
      <c r="H84" s="7" t="s">
        <v>360</v>
      </c>
      <c r="I84" s="7" t="s">
        <v>151</v>
      </c>
      <c r="J84" s="10"/>
      <c r="K84" s="10" t="n">
        <v>850</v>
      </c>
      <c r="L84" s="11"/>
      <c r="M84" s="7" t="s">
        <v>116</v>
      </c>
      <c r="N84" s="7" t="s">
        <v>117</v>
      </c>
      <c r="O84" s="10" t="n">
        <v>550</v>
      </c>
      <c r="P84" s="10" t="str">
        <f aca="false">IF(AND(ISNUMBER(J84),J84&gt;0),ROUND(J84*Assumptions!$B$4,2),"")</f>
        <v/>
      </c>
      <c r="Q84" s="7" t="str">
        <f aca="false">IF(AND(ISNUMBER(K84),ISNUMBER(O84)),IF(ROUND(K84*Assumptions!$B$4,2)=O84,"Equals 70%","Differs ("&amp;TEXT(O84/K84,"0%")&amp;" of B2C)"),"")</f>
        <v>Differs (65% of B2C)</v>
      </c>
      <c r="R84" s="7" t="s">
        <v>118</v>
      </c>
      <c r="S84" s="7"/>
      <c r="T84" s="7" t="s">
        <v>212</v>
      </c>
      <c r="U84" s="7" t="s">
        <v>120</v>
      </c>
      <c r="V84" s="7" t="s">
        <v>121</v>
      </c>
      <c r="W84" s="7" t="s">
        <v>117</v>
      </c>
      <c r="X84" s="7" t="s">
        <v>361</v>
      </c>
      <c r="Y84" s="7" t="s">
        <v>123</v>
      </c>
      <c r="Z84" s="7" t="s">
        <v>124</v>
      </c>
      <c r="AA84" s="7"/>
      <c r="AB84" s="7" t="s">
        <v>154</v>
      </c>
      <c r="AC84" s="7" t="n">
        <v>0</v>
      </c>
      <c r="AD84" s="7" t="n">
        <v>1</v>
      </c>
      <c r="AE84" s="7" t="n">
        <v>0</v>
      </c>
      <c r="AF84" s="7" t="n">
        <v>1</v>
      </c>
      <c r="AG84" s="7" t="n">
        <v>0</v>
      </c>
      <c r="AH84" s="7" t="n">
        <v>0</v>
      </c>
      <c r="AI84" s="7" t="n">
        <v>0</v>
      </c>
    </row>
    <row r="85" customFormat="false" ht="23.85" hidden="false" customHeight="false" outlineLevel="0" collapsed="false">
      <c r="A85" s="7" t="s">
        <v>366</v>
      </c>
      <c r="B85" s="7" t="s">
        <v>367</v>
      </c>
      <c r="C85" s="7"/>
      <c r="D85" s="7" t="s">
        <v>359</v>
      </c>
      <c r="E85" s="7" t="s">
        <v>113</v>
      </c>
      <c r="F85" s="7"/>
      <c r="G85" s="7" t="s">
        <v>225</v>
      </c>
      <c r="H85" s="7"/>
      <c r="I85" s="7" t="s">
        <v>151</v>
      </c>
      <c r="J85" s="10" t="n">
        <v>0</v>
      </c>
      <c r="K85" s="10"/>
      <c r="L85" s="11"/>
      <c r="M85" s="12" t="s">
        <v>128</v>
      </c>
      <c r="N85" s="7" t="s">
        <v>129</v>
      </c>
      <c r="O85" s="10"/>
      <c r="P85" s="10" t="str">
        <f aca="false">IF(AND(ISNUMBER(J85),J85&gt;0),ROUND(J85*Assumptions!$B$4,2),"")</f>
        <v/>
      </c>
      <c r="Q85" s="7" t="str">
        <f aca="false">IF(AND(ISNUMBER(K85),ISNUMBER(O85)),IF(ROUND(K85*Assumptions!$B$4,2)=O85,"Equals 70%","Differs ("&amp;TEXT(O85/K85,"0%")&amp;" of B2C)"),"")</f>
        <v/>
      </c>
      <c r="R85" s="7" t="s">
        <v>130</v>
      </c>
      <c r="S85" s="7" t="s">
        <v>131</v>
      </c>
      <c r="T85" s="7"/>
      <c r="U85" s="7" t="s">
        <v>132</v>
      </c>
      <c r="V85" s="7" t="s">
        <v>121</v>
      </c>
      <c r="W85" s="7" t="s">
        <v>133</v>
      </c>
      <c r="X85" s="7" t="s">
        <v>368</v>
      </c>
      <c r="Y85" s="7" t="s">
        <v>124</v>
      </c>
      <c r="Z85" s="7" t="s">
        <v>123</v>
      </c>
      <c r="AA85" s="7" t="s">
        <v>369</v>
      </c>
      <c r="AB85" s="7" t="s">
        <v>136</v>
      </c>
      <c r="AC85" s="7" t="n">
        <v>0</v>
      </c>
      <c r="AD85" s="7" t="n">
        <v>1</v>
      </c>
      <c r="AE85" s="7" t="n">
        <v>1</v>
      </c>
      <c r="AF85" s="7" t="n">
        <v>1</v>
      </c>
      <c r="AG85" s="7" t="n">
        <v>1</v>
      </c>
      <c r="AH85" s="7" t="n">
        <v>1</v>
      </c>
      <c r="AI85" s="7" t="n">
        <v>0</v>
      </c>
    </row>
    <row r="86" customFormat="false" ht="35.05" hidden="false" customHeight="false" outlineLevel="0" collapsed="false">
      <c r="A86" s="7" t="s">
        <v>370</v>
      </c>
      <c r="B86" s="7"/>
      <c r="C86" s="7" t="s">
        <v>371</v>
      </c>
      <c r="D86" s="7" t="s">
        <v>359</v>
      </c>
      <c r="E86" s="7" t="s">
        <v>113</v>
      </c>
      <c r="F86" s="7" t="s">
        <v>113</v>
      </c>
      <c r="G86" s="7"/>
      <c r="H86" s="7" t="s">
        <v>360</v>
      </c>
      <c r="I86" s="7" t="s">
        <v>151</v>
      </c>
      <c r="J86" s="10"/>
      <c r="K86" s="10" t="n">
        <v>750</v>
      </c>
      <c r="L86" s="11"/>
      <c r="M86" s="7" t="s">
        <v>116</v>
      </c>
      <c r="N86" s="7" t="s">
        <v>117</v>
      </c>
      <c r="O86" s="10" t="n">
        <v>500</v>
      </c>
      <c r="P86" s="10" t="str">
        <f aca="false">IF(AND(ISNUMBER(J86),J86&gt;0),ROUND(J86*Assumptions!$B$4,2),"")</f>
        <v/>
      </c>
      <c r="Q86" s="7" t="str">
        <f aca="false">IF(AND(ISNUMBER(K86),ISNUMBER(O86)),IF(ROUND(K86*Assumptions!$B$4,2)=O86,"Equals 70%","Differs ("&amp;TEXT(O86/K86,"0%")&amp;" of B2C)"),"")</f>
        <v>Differs (67% of B2C)</v>
      </c>
      <c r="R86" s="7" t="s">
        <v>118</v>
      </c>
      <c r="S86" s="7"/>
      <c r="T86" s="7" t="s">
        <v>212</v>
      </c>
      <c r="U86" s="7" t="s">
        <v>120</v>
      </c>
      <c r="V86" s="7" t="s">
        <v>121</v>
      </c>
      <c r="W86" s="7" t="s">
        <v>117</v>
      </c>
      <c r="X86" s="7" t="s">
        <v>361</v>
      </c>
      <c r="Y86" s="7" t="s">
        <v>123</v>
      </c>
      <c r="Z86" s="7" t="s">
        <v>124</v>
      </c>
      <c r="AA86" s="7"/>
      <c r="AB86" s="7" t="s">
        <v>154</v>
      </c>
      <c r="AC86" s="7" t="n">
        <v>0</v>
      </c>
      <c r="AD86" s="7" t="n">
        <v>1</v>
      </c>
      <c r="AE86" s="7" t="n">
        <v>0</v>
      </c>
      <c r="AF86" s="7" t="n">
        <v>1</v>
      </c>
      <c r="AG86" s="7" t="n">
        <v>0</v>
      </c>
      <c r="AH86" s="7" t="n">
        <v>0</v>
      </c>
      <c r="AI86" s="7" t="n">
        <v>0</v>
      </c>
    </row>
    <row r="87" customFormat="false" ht="35.05" hidden="false" customHeight="false" outlineLevel="0" collapsed="false">
      <c r="A87" s="7" t="s">
        <v>372</v>
      </c>
      <c r="B87" s="7"/>
      <c r="C87" s="7" t="s">
        <v>373</v>
      </c>
      <c r="D87" s="7" t="s">
        <v>359</v>
      </c>
      <c r="E87" s="7" t="s">
        <v>113</v>
      </c>
      <c r="F87" s="7" t="s">
        <v>113</v>
      </c>
      <c r="G87" s="7"/>
      <c r="H87" s="7" t="s">
        <v>360</v>
      </c>
      <c r="I87" s="7" t="s">
        <v>151</v>
      </c>
      <c r="J87" s="10"/>
      <c r="K87" s="10" t="n">
        <v>1400</v>
      </c>
      <c r="L87" s="11"/>
      <c r="M87" s="7" t="s">
        <v>116</v>
      </c>
      <c r="N87" s="7" t="s">
        <v>117</v>
      </c>
      <c r="O87" s="10" t="n">
        <v>950</v>
      </c>
      <c r="P87" s="10" t="str">
        <f aca="false">IF(AND(ISNUMBER(J87),J87&gt;0),ROUND(J87*Assumptions!$B$4,2),"")</f>
        <v/>
      </c>
      <c r="Q87" s="7" t="str">
        <f aca="false">IF(AND(ISNUMBER(K87),ISNUMBER(O87)),IF(ROUND(K87*Assumptions!$B$4,2)=O87,"Equals 70%","Differs ("&amp;TEXT(O87/K87,"0%")&amp;" of B2C)"),"")</f>
        <v>Differs (68% of B2C)</v>
      </c>
      <c r="R87" s="7" t="s">
        <v>118</v>
      </c>
      <c r="S87" s="7"/>
      <c r="T87" s="7" t="s">
        <v>212</v>
      </c>
      <c r="U87" s="7" t="s">
        <v>120</v>
      </c>
      <c r="V87" s="7" t="s">
        <v>121</v>
      </c>
      <c r="W87" s="7" t="s">
        <v>117</v>
      </c>
      <c r="X87" s="7" t="s">
        <v>361</v>
      </c>
      <c r="Y87" s="7" t="s">
        <v>123</v>
      </c>
      <c r="Z87" s="7" t="s">
        <v>124</v>
      </c>
      <c r="AA87" s="7"/>
      <c r="AB87" s="7" t="s">
        <v>154</v>
      </c>
      <c r="AC87" s="7" t="n">
        <v>0</v>
      </c>
      <c r="AD87" s="7" t="n">
        <v>1</v>
      </c>
      <c r="AE87" s="7" t="n">
        <v>0</v>
      </c>
      <c r="AF87" s="7" t="n">
        <v>1</v>
      </c>
      <c r="AG87" s="7" t="n">
        <v>0</v>
      </c>
      <c r="AH87" s="7" t="n">
        <v>0</v>
      </c>
      <c r="AI87" s="7" t="n">
        <v>0</v>
      </c>
    </row>
    <row r="88" customFormat="false" ht="35.05" hidden="false" customHeight="false" outlineLevel="0" collapsed="false">
      <c r="A88" s="7" t="s">
        <v>374</v>
      </c>
      <c r="B88" s="7"/>
      <c r="C88" s="7" t="s">
        <v>375</v>
      </c>
      <c r="D88" s="7" t="s">
        <v>359</v>
      </c>
      <c r="E88" s="7" t="s">
        <v>113</v>
      </c>
      <c r="F88" s="7" t="s">
        <v>113</v>
      </c>
      <c r="G88" s="7"/>
      <c r="H88" s="7" t="s">
        <v>360</v>
      </c>
      <c r="I88" s="7" t="s">
        <v>151</v>
      </c>
      <c r="J88" s="10"/>
      <c r="K88" s="10" t="n">
        <v>950</v>
      </c>
      <c r="L88" s="11"/>
      <c r="M88" s="7" t="s">
        <v>116</v>
      </c>
      <c r="N88" s="7" t="s">
        <v>117</v>
      </c>
      <c r="O88" s="10" t="n">
        <v>650</v>
      </c>
      <c r="P88" s="10" t="str">
        <f aca="false">IF(AND(ISNUMBER(J88),J88&gt;0),ROUND(J88*Assumptions!$B$4,2),"")</f>
        <v/>
      </c>
      <c r="Q88" s="7" t="str">
        <f aca="false">IF(AND(ISNUMBER(K88),ISNUMBER(O88)),IF(ROUND(K88*Assumptions!$B$4,2)=O88,"Equals 70%","Differs ("&amp;TEXT(O88/K88,"0%")&amp;" of B2C)"),"")</f>
        <v>Differs (68% of B2C)</v>
      </c>
      <c r="R88" s="7" t="s">
        <v>118</v>
      </c>
      <c r="S88" s="7"/>
      <c r="T88" s="7" t="s">
        <v>212</v>
      </c>
      <c r="U88" s="7" t="s">
        <v>120</v>
      </c>
      <c r="V88" s="7" t="s">
        <v>121</v>
      </c>
      <c r="W88" s="7" t="s">
        <v>117</v>
      </c>
      <c r="X88" s="7" t="s">
        <v>361</v>
      </c>
      <c r="Y88" s="7" t="s">
        <v>123</v>
      </c>
      <c r="Z88" s="7" t="s">
        <v>124</v>
      </c>
      <c r="AA88" s="7"/>
      <c r="AB88" s="7" t="s">
        <v>154</v>
      </c>
      <c r="AC88" s="7" t="n">
        <v>0</v>
      </c>
      <c r="AD88" s="7" t="n">
        <v>1</v>
      </c>
      <c r="AE88" s="7" t="n">
        <v>0</v>
      </c>
      <c r="AF88" s="7" t="n">
        <v>1</v>
      </c>
      <c r="AG88" s="7" t="n">
        <v>0</v>
      </c>
      <c r="AH88" s="7" t="n">
        <v>0</v>
      </c>
      <c r="AI88" s="7" t="n">
        <v>0</v>
      </c>
    </row>
    <row r="89" customFormat="false" ht="35.05" hidden="false" customHeight="false" outlineLevel="0" collapsed="false">
      <c r="A89" s="7" t="s">
        <v>376</v>
      </c>
      <c r="B89" s="7"/>
      <c r="C89" s="7" t="s">
        <v>377</v>
      </c>
      <c r="D89" s="7" t="s">
        <v>359</v>
      </c>
      <c r="E89" s="7" t="s">
        <v>113</v>
      </c>
      <c r="F89" s="7" t="s">
        <v>113</v>
      </c>
      <c r="G89" s="7"/>
      <c r="H89" s="7" t="s">
        <v>360</v>
      </c>
      <c r="I89" s="7" t="s">
        <v>151</v>
      </c>
      <c r="J89" s="10"/>
      <c r="K89" s="10" t="n">
        <v>1000</v>
      </c>
      <c r="L89" s="11"/>
      <c r="M89" s="7" t="s">
        <v>116</v>
      </c>
      <c r="N89" s="7" t="s">
        <v>117</v>
      </c>
      <c r="O89" s="10" t="n">
        <v>680</v>
      </c>
      <c r="P89" s="10" t="str">
        <f aca="false">IF(AND(ISNUMBER(J89),J89&gt;0),ROUND(J89*Assumptions!$B$4,2),"")</f>
        <v/>
      </c>
      <c r="Q89" s="7" t="str">
        <f aca="false">IF(AND(ISNUMBER(K89),ISNUMBER(O89)),IF(ROUND(K89*Assumptions!$B$4,2)=O89,"Equals 70%","Differs ("&amp;TEXT(O89/K89,"0%")&amp;" of B2C)"),"")</f>
        <v>Differs (68% of B2C)</v>
      </c>
      <c r="R89" s="7" t="s">
        <v>118</v>
      </c>
      <c r="S89" s="7"/>
      <c r="T89" s="7" t="s">
        <v>212</v>
      </c>
      <c r="U89" s="7" t="s">
        <v>120</v>
      </c>
      <c r="V89" s="7" t="s">
        <v>121</v>
      </c>
      <c r="W89" s="7" t="s">
        <v>117</v>
      </c>
      <c r="X89" s="7" t="s">
        <v>361</v>
      </c>
      <c r="Y89" s="7" t="s">
        <v>123</v>
      </c>
      <c r="Z89" s="7" t="s">
        <v>124</v>
      </c>
      <c r="AA89" s="7"/>
      <c r="AB89" s="7" t="s">
        <v>154</v>
      </c>
      <c r="AC89" s="7" t="n">
        <v>0</v>
      </c>
      <c r="AD89" s="7" t="n">
        <v>1</v>
      </c>
      <c r="AE89" s="7" t="n">
        <v>0</v>
      </c>
      <c r="AF89" s="7" t="n">
        <v>1</v>
      </c>
      <c r="AG89" s="7" t="n">
        <v>0</v>
      </c>
      <c r="AH89" s="7" t="n">
        <v>0</v>
      </c>
      <c r="AI89" s="7" t="n">
        <v>0</v>
      </c>
    </row>
    <row r="90" customFormat="false" ht="35.05" hidden="false" customHeight="false" outlineLevel="0" collapsed="false">
      <c r="A90" s="7" t="s">
        <v>378</v>
      </c>
      <c r="B90" s="7"/>
      <c r="C90" s="7" t="s">
        <v>379</v>
      </c>
      <c r="D90" s="7" t="s">
        <v>359</v>
      </c>
      <c r="E90" s="7" t="s">
        <v>113</v>
      </c>
      <c r="F90" s="7" t="s">
        <v>113</v>
      </c>
      <c r="G90" s="7"/>
      <c r="H90" s="7" t="s">
        <v>360</v>
      </c>
      <c r="I90" s="7" t="s">
        <v>151</v>
      </c>
      <c r="J90" s="10"/>
      <c r="K90" s="10" t="n">
        <v>1100</v>
      </c>
      <c r="L90" s="11"/>
      <c r="M90" s="7" t="s">
        <v>116</v>
      </c>
      <c r="N90" s="7" t="s">
        <v>117</v>
      </c>
      <c r="O90" s="10" t="n">
        <v>750</v>
      </c>
      <c r="P90" s="10" t="str">
        <f aca="false">IF(AND(ISNUMBER(J90),J90&gt;0),ROUND(J90*Assumptions!$B$4,2),"")</f>
        <v/>
      </c>
      <c r="Q90" s="7" t="str">
        <f aca="false">IF(AND(ISNUMBER(K90),ISNUMBER(O90)),IF(ROUND(K90*Assumptions!$B$4,2)=O90,"Equals 70%","Differs ("&amp;TEXT(O90/K90,"0%")&amp;" of B2C)"),"")</f>
        <v>Differs (68% of B2C)</v>
      </c>
      <c r="R90" s="7" t="s">
        <v>118</v>
      </c>
      <c r="S90" s="7"/>
      <c r="T90" s="7" t="s">
        <v>212</v>
      </c>
      <c r="U90" s="7" t="s">
        <v>120</v>
      </c>
      <c r="V90" s="7" t="s">
        <v>121</v>
      </c>
      <c r="W90" s="7" t="s">
        <v>117</v>
      </c>
      <c r="X90" s="7" t="s">
        <v>361</v>
      </c>
      <c r="Y90" s="7" t="s">
        <v>123</v>
      </c>
      <c r="Z90" s="7" t="s">
        <v>124</v>
      </c>
      <c r="AA90" s="7"/>
      <c r="AB90" s="7" t="s">
        <v>154</v>
      </c>
      <c r="AC90" s="7" t="n">
        <v>0</v>
      </c>
      <c r="AD90" s="7" t="n">
        <v>1</v>
      </c>
      <c r="AE90" s="7" t="n">
        <v>0</v>
      </c>
      <c r="AF90" s="7" t="n">
        <v>1</v>
      </c>
      <c r="AG90" s="7" t="n">
        <v>0</v>
      </c>
      <c r="AH90" s="7" t="n">
        <v>0</v>
      </c>
      <c r="AI90" s="7" t="n">
        <v>0</v>
      </c>
    </row>
    <row r="91" customFormat="false" ht="35.05" hidden="false" customHeight="false" outlineLevel="0" collapsed="false">
      <c r="A91" s="7" t="s">
        <v>380</v>
      </c>
      <c r="B91" s="7"/>
      <c r="C91" s="7" t="s">
        <v>381</v>
      </c>
      <c r="D91" s="7" t="s">
        <v>359</v>
      </c>
      <c r="E91" s="7" t="s">
        <v>113</v>
      </c>
      <c r="F91" s="7" t="s">
        <v>113</v>
      </c>
      <c r="G91" s="7"/>
      <c r="H91" s="7" t="s">
        <v>360</v>
      </c>
      <c r="I91" s="7" t="s">
        <v>151</v>
      </c>
      <c r="J91" s="10"/>
      <c r="K91" s="10" t="n">
        <v>650</v>
      </c>
      <c r="L91" s="11"/>
      <c r="M91" s="7" t="s">
        <v>116</v>
      </c>
      <c r="N91" s="7" t="s">
        <v>117</v>
      </c>
      <c r="O91" s="10" t="n">
        <v>450</v>
      </c>
      <c r="P91" s="10" t="str">
        <f aca="false">IF(AND(ISNUMBER(J91),J91&gt;0),ROUND(J91*Assumptions!$B$4,2),"")</f>
        <v/>
      </c>
      <c r="Q91" s="7" t="str">
        <f aca="false">IF(AND(ISNUMBER(K91),ISNUMBER(O91)),IF(ROUND(K91*Assumptions!$B$4,2)=O91,"Equals 70%","Differs ("&amp;TEXT(O91/K91,"0%")&amp;" of B2C)"),"")</f>
        <v>Differs (69% of B2C)</v>
      </c>
      <c r="R91" s="7" t="s">
        <v>118</v>
      </c>
      <c r="S91" s="7"/>
      <c r="T91" s="7" t="s">
        <v>212</v>
      </c>
      <c r="U91" s="7" t="s">
        <v>120</v>
      </c>
      <c r="V91" s="7" t="s">
        <v>121</v>
      </c>
      <c r="W91" s="7" t="s">
        <v>117</v>
      </c>
      <c r="X91" s="7" t="s">
        <v>361</v>
      </c>
      <c r="Y91" s="7" t="s">
        <v>123</v>
      </c>
      <c r="Z91" s="7" t="s">
        <v>124</v>
      </c>
      <c r="AA91" s="7" t="s">
        <v>366</v>
      </c>
      <c r="AB91" s="7" t="s">
        <v>126</v>
      </c>
      <c r="AC91" s="7" t="n">
        <v>0</v>
      </c>
      <c r="AD91" s="7" t="n">
        <v>1</v>
      </c>
      <c r="AE91" s="7" t="n">
        <v>0</v>
      </c>
      <c r="AF91" s="7" t="n">
        <v>1</v>
      </c>
      <c r="AG91" s="7" t="n">
        <v>1</v>
      </c>
      <c r="AH91" s="7" t="n">
        <v>0</v>
      </c>
      <c r="AI91" s="7" t="n">
        <v>0</v>
      </c>
    </row>
    <row r="92" customFormat="false" ht="35.05" hidden="false" customHeight="false" outlineLevel="0" collapsed="false">
      <c r="A92" s="7" t="s">
        <v>382</v>
      </c>
      <c r="B92" s="7" t="s">
        <v>383</v>
      </c>
      <c r="C92" s="7" t="s">
        <v>384</v>
      </c>
      <c r="D92" s="7" t="s">
        <v>359</v>
      </c>
      <c r="E92" s="7" t="s">
        <v>113</v>
      </c>
      <c r="F92" s="7" t="s">
        <v>113</v>
      </c>
      <c r="G92" s="7" t="s">
        <v>225</v>
      </c>
      <c r="H92" s="7" t="s">
        <v>225</v>
      </c>
      <c r="I92" s="7" t="s">
        <v>226</v>
      </c>
      <c r="J92" s="10" t="n">
        <v>0</v>
      </c>
      <c r="K92" s="10" t="n">
        <v>2000</v>
      </c>
      <c r="L92" s="11"/>
      <c r="M92" s="12" t="s">
        <v>128</v>
      </c>
      <c r="N92" s="7" t="s">
        <v>129</v>
      </c>
      <c r="O92" s="10" t="n">
        <v>1500</v>
      </c>
      <c r="P92" s="10" t="str">
        <f aca="false">IF(AND(ISNUMBER(J92),J92&gt;0),ROUND(J92*Assumptions!$B$4,2),"")</f>
        <v/>
      </c>
      <c r="Q92" s="7" t="str">
        <f aca="false">IF(AND(ISNUMBER(K92),ISNUMBER(O92)),IF(ROUND(K92*Assumptions!$B$4,2)=O92,"Equals 70%","Differs ("&amp;TEXT(O92/K92,"0%")&amp;" of B2C)"),"")</f>
        <v>Differs (75% of B2C)</v>
      </c>
      <c r="R92" s="7" t="s">
        <v>140</v>
      </c>
      <c r="S92" s="7" t="s">
        <v>131</v>
      </c>
      <c r="T92" s="7" t="s">
        <v>212</v>
      </c>
      <c r="U92" s="7" t="s">
        <v>120</v>
      </c>
      <c r="V92" s="7" t="s">
        <v>121</v>
      </c>
      <c r="W92" s="7" t="s">
        <v>133</v>
      </c>
      <c r="X92" s="7" t="s">
        <v>368</v>
      </c>
      <c r="Y92" s="7" t="s">
        <v>124</v>
      </c>
      <c r="Z92" s="7" t="s">
        <v>124</v>
      </c>
      <c r="AA92" s="7" t="s">
        <v>366</v>
      </c>
      <c r="AB92" s="7" t="s">
        <v>136</v>
      </c>
      <c r="AC92" s="7" t="n">
        <v>0</v>
      </c>
      <c r="AD92" s="7" t="n">
        <v>1</v>
      </c>
      <c r="AE92" s="7" t="n">
        <v>1</v>
      </c>
      <c r="AF92" s="7" t="n">
        <v>1</v>
      </c>
      <c r="AG92" s="7" t="n">
        <v>1</v>
      </c>
      <c r="AH92" s="7" t="n">
        <v>1</v>
      </c>
      <c r="AI92" s="7" t="n">
        <v>0</v>
      </c>
    </row>
    <row r="93" customFormat="false" ht="35.05" hidden="false" customHeight="false" outlineLevel="0" collapsed="false">
      <c r="A93" s="7" t="s">
        <v>385</v>
      </c>
      <c r="B93" s="7"/>
      <c r="C93" s="7" t="s">
        <v>386</v>
      </c>
      <c r="D93" s="7" t="s">
        <v>359</v>
      </c>
      <c r="E93" s="7" t="s">
        <v>113</v>
      </c>
      <c r="F93" s="7" t="s">
        <v>113</v>
      </c>
      <c r="G93" s="7"/>
      <c r="H93" s="7" t="s">
        <v>225</v>
      </c>
      <c r="I93" s="12" t="s">
        <v>231</v>
      </c>
      <c r="J93" s="10"/>
      <c r="K93" s="10" t="n">
        <v>3800</v>
      </c>
      <c r="L93" s="11"/>
      <c r="M93" s="7" t="s">
        <v>116</v>
      </c>
      <c r="N93" s="7" t="s">
        <v>117</v>
      </c>
      <c r="O93" s="10" t="n">
        <v>2850</v>
      </c>
      <c r="P93" s="10" t="str">
        <f aca="false">IF(AND(ISNUMBER(J93),J93&gt;0),ROUND(J93*Assumptions!$B$4,2),"")</f>
        <v/>
      </c>
      <c r="Q93" s="7" t="str">
        <f aca="false">IF(AND(ISNUMBER(K93),ISNUMBER(O93)),IF(ROUND(K93*Assumptions!$B$4,2)=O93,"Equals 70%","Differs ("&amp;TEXT(O93/K93,"0%")&amp;" of B2C)"),"")</f>
        <v>Differs (75% of B2C)</v>
      </c>
      <c r="R93" s="7" t="s">
        <v>118</v>
      </c>
      <c r="S93" s="7"/>
      <c r="T93" s="7" t="s">
        <v>212</v>
      </c>
      <c r="U93" s="7" t="s">
        <v>120</v>
      </c>
      <c r="V93" s="7" t="s">
        <v>121</v>
      </c>
      <c r="W93" s="7" t="s">
        <v>117</v>
      </c>
      <c r="X93" s="7" t="s">
        <v>361</v>
      </c>
      <c r="Y93" s="7" t="s">
        <v>123</v>
      </c>
      <c r="Z93" s="7" t="s">
        <v>124</v>
      </c>
      <c r="AA93" s="7" t="s">
        <v>366</v>
      </c>
      <c r="AB93" s="7" t="s">
        <v>233</v>
      </c>
      <c r="AC93" s="7" t="n">
        <v>1</v>
      </c>
      <c r="AD93" s="7" t="n">
        <v>1</v>
      </c>
      <c r="AE93" s="7" t="n">
        <v>0</v>
      </c>
      <c r="AF93" s="7" t="n">
        <v>1</v>
      </c>
      <c r="AG93" s="7" t="n">
        <v>1</v>
      </c>
      <c r="AH93" s="7" t="n">
        <v>0</v>
      </c>
      <c r="AI93" s="7" t="n">
        <v>0</v>
      </c>
    </row>
    <row r="94" customFormat="false" ht="35.05" hidden="false" customHeight="false" outlineLevel="0" collapsed="false">
      <c r="A94" s="7" t="s">
        <v>387</v>
      </c>
      <c r="B94" s="7"/>
      <c r="C94" s="7" t="s">
        <v>388</v>
      </c>
      <c r="D94" s="7" t="s">
        <v>359</v>
      </c>
      <c r="E94" s="7" t="s">
        <v>113</v>
      </c>
      <c r="F94" s="7" t="s">
        <v>113</v>
      </c>
      <c r="G94" s="7"/>
      <c r="H94" s="7" t="s">
        <v>225</v>
      </c>
      <c r="I94" s="7" t="s">
        <v>226</v>
      </c>
      <c r="J94" s="10"/>
      <c r="K94" s="10" t="n">
        <v>2500</v>
      </c>
      <c r="L94" s="11"/>
      <c r="M94" s="7" t="s">
        <v>116</v>
      </c>
      <c r="N94" s="7" t="s">
        <v>117</v>
      </c>
      <c r="O94" s="10" t="n">
        <v>1900</v>
      </c>
      <c r="P94" s="10" t="str">
        <f aca="false">IF(AND(ISNUMBER(J94),J94&gt;0),ROUND(J94*Assumptions!$B$4,2),"")</f>
        <v/>
      </c>
      <c r="Q94" s="7" t="str">
        <f aca="false">IF(AND(ISNUMBER(K94),ISNUMBER(O94)),IF(ROUND(K94*Assumptions!$B$4,2)=O94,"Equals 70%","Differs ("&amp;TEXT(O94/K94,"0%")&amp;" of B2C)"),"")</f>
        <v>Differs (76% of B2C)</v>
      </c>
      <c r="R94" s="7" t="s">
        <v>118</v>
      </c>
      <c r="S94" s="7"/>
      <c r="T94" s="7" t="s">
        <v>212</v>
      </c>
      <c r="U94" s="7" t="s">
        <v>120</v>
      </c>
      <c r="V94" s="7" t="s">
        <v>121</v>
      </c>
      <c r="W94" s="7" t="s">
        <v>117</v>
      </c>
      <c r="X94" s="7" t="s">
        <v>361</v>
      </c>
      <c r="Y94" s="7" t="s">
        <v>123</v>
      </c>
      <c r="Z94" s="7" t="s">
        <v>124</v>
      </c>
      <c r="AA94" s="7"/>
      <c r="AB94" s="7" t="s">
        <v>154</v>
      </c>
      <c r="AC94" s="7" t="n">
        <v>0</v>
      </c>
      <c r="AD94" s="7" t="n">
        <v>1</v>
      </c>
      <c r="AE94" s="7" t="n">
        <v>0</v>
      </c>
      <c r="AF94" s="7" t="n">
        <v>1</v>
      </c>
      <c r="AG94" s="7" t="n">
        <v>0</v>
      </c>
      <c r="AH94" s="7" t="n">
        <v>0</v>
      </c>
      <c r="AI94" s="7" t="n">
        <v>0</v>
      </c>
    </row>
    <row r="95" customFormat="false" ht="35.05" hidden="false" customHeight="false" outlineLevel="0" collapsed="false">
      <c r="A95" s="7" t="s">
        <v>389</v>
      </c>
      <c r="B95" s="7"/>
      <c r="C95" s="7" t="s">
        <v>390</v>
      </c>
      <c r="D95" s="7" t="s">
        <v>359</v>
      </c>
      <c r="E95" s="7" t="s">
        <v>113</v>
      </c>
      <c r="F95" s="7" t="s">
        <v>113</v>
      </c>
      <c r="G95" s="7"/>
      <c r="H95" s="7" t="s">
        <v>225</v>
      </c>
      <c r="I95" s="12" t="s">
        <v>231</v>
      </c>
      <c r="J95" s="10"/>
      <c r="K95" s="10" t="n">
        <v>4800</v>
      </c>
      <c r="L95" s="11"/>
      <c r="M95" s="7" t="s">
        <v>116</v>
      </c>
      <c r="N95" s="7" t="s">
        <v>117</v>
      </c>
      <c r="O95" s="10" t="n">
        <v>3600</v>
      </c>
      <c r="P95" s="10" t="str">
        <f aca="false">IF(AND(ISNUMBER(J95),J95&gt;0),ROUND(J95*Assumptions!$B$4,2),"")</f>
        <v/>
      </c>
      <c r="Q95" s="7" t="str">
        <f aca="false">IF(AND(ISNUMBER(K95),ISNUMBER(O95)),IF(ROUND(K95*Assumptions!$B$4,2)=O95,"Equals 70%","Differs ("&amp;TEXT(O95/K95,"0%")&amp;" of B2C)"),"")</f>
        <v>Differs (75% of B2C)</v>
      </c>
      <c r="R95" s="7" t="s">
        <v>118</v>
      </c>
      <c r="S95" s="7"/>
      <c r="T95" s="7" t="s">
        <v>212</v>
      </c>
      <c r="U95" s="7" t="s">
        <v>120</v>
      </c>
      <c r="V95" s="7" t="s">
        <v>121</v>
      </c>
      <c r="W95" s="7" t="s">
        <v>117</v>
      </c>
      <c r="X95" s="7" t="s">
        <v>361</v>
      </c>
      <c r="Y95" s="7" t="s">
        <v>123</v>
      </c>
      <c r="Z95" s="7" t="s">
        <v>124</v>
      </c>
      <c r="AA95" s="7"/>
      <c r="AB95" s="7" t="s">
        <v>220</v>
      </c>
      <c r="AC95" s="7" t="n">
        <v>1</v>
      </c>
      <c r="AD95" s="7" t="n">
        <v>1</v>
      </c>
      <c r="AE95" s="7" t="n">
        <v>0</v>
      </c>
      <c r="AF95" s="7" t="n">
        <v>1</v>
      </c>
      <c r="AG95" s="7" t="n">
        <v>0</v>
      </c>
      <c r="AH95" s="7" t="n">
        <v>0</v>
      </c>
      <c r="AI95" s="7" t="n">
        <v>0</v>
      </c>
    </row>
    <row r="96" customFormat="false" ht="35.05" hidden="false" customHeight="false" outlineLevel="0" collapsed="false">
      <c r="A96" s="7" t="s">
        <v>391</v>
      </c>
      <c r="B96" s="7"/>
      <c r="C96" s="7" t="s">
        <v>392</v>
      </c>
      <c r="D96" s="7" t="s">
        <v>393</v>
      </c>
      <c r="E96" s="7" t="s">
        <v>113</v>
      </c>
      <c r="F96" s="7" t="s">
        <v>113</v>
      </c>
      <c r="G96" s="7"/>
      <c r="H96" s="7" t="s">
        <v>360</v>
      </c>
      <c r="I96" s="7" t="s">
        <v>151</v>
      </c>
      <c r="J96" s="10"/>
      <c r="K96" s="10" t="n">
        <v>900</v>
      </c>
      <c r="L96" s="11"/>
      <c r="M96" s="7" t="s">
        <v>116</v>
      </c>
      <c r="N96" s="7" t="s">
        <v>117</v>
      </c>
      <c r="O96" s="10" t="n">
        <v>650</v>
      </c>
      <c r="P96" s="10" t="str">
        <f aca="false">IF(AND(ISNUMBER(J96),J96&gt;0),ROUND(J96*Assumptions!$B$4,2),"")</f>
        <v/>
      </c>
      <c r="Q96" s="7" t="str">
        <f aca="false">IF(AND(ISNUMBER(K96),ISNUMBER(O96)),IF(ROUND(K96*Assumptions!$B$4,2)=O96,"Equals 70%","Differs ("&amp;TEXT(O96/K96,"0%")&amp;" of B2C)"),"")</f>
        <v>Differs (72% of B2C)</v>
      </c>
      <c r="R96" s="7" t="s">
        <v>118</v>
      </c>
      <c r="S96" s="7"/>
      <c r="T96" s="7" t="s">
        <v>212</v>
      </c>
      <c r="U96" s="7" t="s">
        <v>120</v>
      </c>
      <c r="V96" s="7" t="s">
        <v>121</v>
      </c>
      <c r="W96" s="7" t="s">
        <v>117</v>
      </c>
      <c r="X96" s="7" t="s">
        <v>394</v>
      </c>
      <c r="Y96" s="7" t="s">
        <v>123</v>
      </c>
      <c r="Z96" s="7" t="s">
        <v>124</v>
      </c>
      <c r="AA96" s="7" t="s">
        <v>395</v>
      </c>
      <c r="AB96" s="7" t="s">
        <v>126</v>
      </c>
      <c r="AC96" s="7" t="n">
        <v>0</v>
      </c>
      <c r="AD96" s="7" t="n">
        <v>1</v>
      </c>
      <c r="AE96" s="7" t="n">
        <v>0</v>
      </c>
      <c r="AF96" s="7" t="n">
        <v>1</v>
      </c>
      <c r="AG96" s="7" t="n">
        <v>1</v>
      </c>
      <c r="AH96" s="7" t="n">
        <v>0</v>
      </c>
      <c r="AI96" s="7" t="n">
        <v>0</v>
      </c>
    </row>
    <row r="97" customFormat="false" ht="35.05" hidden="false" customHeight="false" outlineLevel="0" collapsed="false">
      <c r="A97" s="7" t="s">
        <v>395</v>
      </c>
      <c r="B97" s="7" t="s">
        <v>396</v>
      </c>
      <c r="C97" s="7"/>
      <c r="D97" s="7" t="s">
        <v>393</v>
      </c>
      <c r="E97" s="7" t="s">
        <v>113</v>
      </c>
      <c r="F97" s="7"/>
      <c r="G97" s="7" t="s">
        <v>360</v>
      </c>
      <c r="H97" s="7"/>
      <c r="I97" s="7" t="s">
        <v>151</v>
      </c>
      <c r="J97" s="10" t="n">
        <v>0</v>
      </c>
      <c r="K97" s="10"/>
      <c r="L97" s="11"/>
      <c r="M97" s="12" t="s">
        <v>128</v>
      </c>
      <c r="N97" s="7" t="s">
        <v>129</v>
      </c>
      <c r="O97" s="10"/>
      <c r="P97" s="10" t="str">
        <f aca="false">IF(AND(ISNUMBER(J97),J97&gt;0),ROUND(J97*Assumptions!$B$4,2),"")</f>
        <v/>
      </c>
      <c r="Q97" s="7" t="str">
        <f aca="false">IF(AND(ISNUMBER(K97),ISNUMBER(O97)),IF(ROUND(K97*Assumptions!$B$4,2)=O97,"Equals 70%","Differs ("&amp;TEXT(O97/K97,"0%")&amp;" of B2C)"),"")</f>
        <v/>
      </c>
      <c r="R97" s="7" t="s">
        <v>130</v>
      </c>
      <c r="S97" s="7" t="s">
        <v>131</v>
      </c>
      <c r="T97" s="7"/>
      <c r="U97" s="7" t="s">
        <v>132</v>
      </c>
      <c r="V97" s="7" t="s">
        <v>121</v>
      </c>
      <c r="W97" s="7" t="s">
        <v>133</v>
      </c>
      <c r="X97" s="7" t="s">
        <v>397</v>
      </c>
      <c r="Y97" s="7" t="s">
        <v>124</v>
      </c>
      <c r="Z97" s="7" t="s">
        <v>123</v>
      </c>
      <c r="AA97" s="7" t="s">
        <v>398</v>
      </c>
      <c r="AB97" s="7" t="s">
        <v>136</v>
      </c>
      <c r="AC97" s="7" t="n">
        <v>0</v>
      </c>
      <c r="AD97" s="7" t="n">
        <v>1</v>
      </c>
      <c r="AE97" s="7" t="n">
        <v>1</v>
      </c>
      <c r="AF97" s="7" t="n">
        <v>1</v>
      </c>
      <c r="AG97" s="7" t="n">
        <v>1</v>
      </c>
      <c r="AH97" s="7" t="n">
        <v>1</v>
      </c>
      <c r="AI97" s="7" t="n">
        <v>0</v>
      </c>
    </row>
    <row r="98" customFormat="false" ht="35.05" hidden="false" customHeight="false" outlineLevel="0" collapsed="false">
      <c r="A98" s="7" t="s">
        <v>399</v>
      </c>
      <c r="B98" s="7"/>
      <c r="C98" s="7" t="s">
        <v>400</v>
      </c>
      <c r="D98" s="7" t="s">
        <v>393</v>
      </c>
      <c r="E98" s="7" t="s">
        <v>113</v>
      </c>
      <c r="F98" s="7" t="s">
        <v>113</v>
      </c>
      <c r="G98" s="7"/>
      <c r="H98" s="7" t="s">
        <v>360</v>
      </c>
      <c r="I98" s="7" t="s">
        <v>151</v>
      </c>
      <c r="J98" s="10"/>
      <c r="K98" s="10" t="n">
        <v>1200</v>
      </c>
      <c r="L98" s="11"/>
      <c r="M98" s="7" t="s">
        <v>116</v>
      </c>
      <c r="N98" s="7" t="s">
        <v>117</v>
      </c>
      <c r="O98" s="10" t="n">
        <v>850</v>
      </c>
      <c r="P98" s="10" t="str">
        <f aca="false">IF(AND(ISNUMBER(J98),J98&gt;0),ROUND(J98*Assumptions!$B$4,2),"")</f>
        <v/>
      </c>
      <c r="Q98" s="7" t="str">
        <f aca="false">IF(AND(ISNUMBER(K98),ISNUMBER(O98)),IF(ROUND(K98*Assumptions!$B$4,2)=O98,"Equals 70%","Differs ("&amp;TEXT(O98/K98,"0%")&amp;" of B2C)"),"")</f>
        <v>Differs (71% of B2C)</v>
      </c>
      <c r="R98" s="7" t="s">
        <v>118</v>
      </c>
      <c r="S98" s="7"/>
      <c r="T98" s="7" t="s">
        <v>212</v>
      </c>
      <c r="U98" s="7" t="s">
        <v>120</v>
      </c>
      <c r="V98" s="7" t="s">
        <v>121</v>
      </c>
      <c r="W98" s="7" t="s">
        <v>117</v>
      </c>
      <c r="X98" s="7" t="s">
        <v>394</v>
      </c>
      <c r="Y98" s="7" t="s">
        <v>123</v>
      </c>
      <c r="Z98" s="7" t="s">
        <v>124</v>
      </c>
      <c r="AA98" s="7" t="s">
        <v>395</v>
      </c>
      <c r="AB98" s="7" t="s">
        <v>126</v>
      </c>
      <c r="AC98" s="7" t="n">
        <v>0</v>
      </c>
      <c r="AD98" s="7" t="n">
        <v>1</v>
      </c>
      <c r="AE98" s="7" t="n">
        <v>0</v>
      </c>
      <c r="AF98" s="7" t="n">
        <v>1</v>
      </c>
      <c r="AG98" s="7" t="n">
        <v>1</v>
      </c>
      <c r="AH98" s="7" t="n">
        <v>0</v>
      </c>
      <c r="AI98" s="7" t="n">
        <v>0</v>
      </c>
    </row>
    <row r="99" customFormat="false" ht="35.05" hidden="false" customHeight="false" outlineLevel="0" collapsed="false">
      <c r="A99" s="7" t="s">
        <v>401</v>
      </c>
      <c r="B99" s="7"/>
      <c r="C99" s="7" t="s">
        <v>402</v>
      </c>
      <c r="D99" s="7" t="s">
        <v>393</v>
      </c>
      <c r="E99" s="7" t="s">
        <v>113</v>
      </c>
      <c r="F99" s="7" t="s">
        <v>113</v>
      </c>
      <c r="G99" s="7"/>
      <c r="H99" s="7" t="s">
        <v>360</v>
      </c>
      <c r="I99" s="7" t="s">
        <v>151</v>
      </c>
      <c r="J99" s="10"/>
      <c r="K99" s="10" t="n">
        <v>1000</v>
      </c>
      <c r="L99" s="11"/>
      <c r="M99" s="7" t="s">
        <v>116</v>
      </c>
      <c r="N99" s="7" t="s">
        <v>117</v>
      </c>
      <c r="O99" s="10" t="n">
        <v>720</v>
      </c>
      <c r="P99" s="10" t="str">
        <f aca="false">IF(AND(ISNUMBER(J99),J99&gt;0),ROUND(J99*Assumptions!$B$4,2),"")</f>
        <v/>
      </c>
      <c r="Q99" s="7" t="str">
        <f aca="false">IF(AND(ISNUMBER(K99),ISNUMBER(O99)),IF(ROUND(K99*Assumptions!$B$4,2)=O99,"Equals 70%","Differs ("&amp;TEXT(O99/K99,"0%")&amp;" of B2C)"),"")</f>
        <v>Differs (72% of B2C)</v>
      </c>
      <c r="R99" s="7" t="s">
        <v>118</v>
      </c>
      <c r="S99" s="7"/>
      <c r="T99" s="7" t="s">
        <v>212</v>
      </c>
      <c r="U99" s="7" t="s">
        <v>120</v>
      </c>
      <c r="V99" s="7" t="s">
        <v>121</v>
      </c>
      <c r="W99" s="7" t="s">
        <v>117</v>
      </c>
      <c r="X99" s="7" t="s">
        <v>394</v>
      </c>
      <c r="Y99" s="7" t="s">
        <v>123</v>
      </c>
      <c r="Z99" s="7" t="s">
        <v>124</v>
      </c>
      <c r="AA99" s="7" t="s">
        <v>395</v>
      </c>
      <c r="AB99" s="7" t="s">
        <v>126</v>
      </c>
      <c r="AC99" s="7" t="n">
        <v>0</v>
      </c>
      <c r="AD99" s="7" t="n">
        <v>1</v>
      </c>
      <c r="AE99" s="7" t="n">
        <v>0</v>
      </c>
      <c r="AF99" s="7" t="n">
        <v>1</v>
      </c>
      <c r="AG99" s="7" t="n">
        <v>1</v>
      </c>
      <c r="AH99" s="7" t="n">
        <v>0</v>
      </c>
      <c r="AI99" s="7" t="n">
        <v>0</v>
      </c>
    </row>
    <row r="100" customFormat="false" ht="35.05" hidden="false" customHeight="false" outlineLevel="0" collapsed="false">
      <c r="A100" s="7" t="s">
        <v>403</v>
      </c>
      <c r="B100" s="7"/>
      <c r="C100" s="7" t="s">
        <v>404</v>
      </c>
      <c r="D100" s="7" t="s">
        <v>393</v>
      </c>
      <c r="E100" s="7" t="s">
        <v>113</v>
      </c>
      <c r="F100" s="7" t="s">
        <v>113</v>
      </c>
      <c r="G100" s="7"/>
      <c r="H100" s="7" t="s">
        <v>360</v>
      </c>
      <c r="I100" s="7" t="s">
        <v>151</v>
      </c>
      <c r="J100" s="10"/>
      <c r="K100" s="10" t="n">
        <v>1100</v>
      </c>
      <c r="L100" s="11"/>
      <c r="M100" s="7" t="s">
        <v>116</v>
      </c>
      <c r="N100" s="7" t="s">
        <v>117</v>
      </c>
      <c r="O100" s="10" t="n">
        <v>780</v>
      </c>
      <c r="P100" s="10" t="str">
        <f aca="false">IF(AND(ISNUMBER(J100),J100&gt;0),ROUND(J100*Assumptions!$B$4,2),"")</f>
        <v/>
      </c>
      <c r="Q100" s="7" t="str">
        <f aca="false">IF(AND(ISNUMBER(K100),ISNUMBER(O100)),IF(ROUND(K100*Assumptions!$B$4,2)=O100,"Equals 70%","Differs ("&amp;TEXT(O100/K100,"0%")&amp;" of B2C)"),"")</f>
        <v>Differs (71% of B2C)</v>
      </c>
      <c r="R100" s="7" t="s">
        <v>118</v>
      </c>
      <c r="S100" s="7"/>
      <c r="T100" s="7" t="s">
        <v>212</v>
      </c>
      <c r="U100" s="7" t="s">
        <v>120</v>
      </c>
      <c r="V100" s="7" t="s">
        <v>121</v>
      </c>
      <c r="W100" s="7" t="s">
        <v>117</v>
      </c>
      <c r="X100" s="7" t="s">
        <v>394</v>
      </c>
      <c r="Y100" s="7" t="s">
        <v>123</v>
      </c>
      <c r="Z100" s="7" t="s">
        <v>124</v>
      </c>
      <c r="AA100" s="7" t="s">
        <v>395</v>
      </c>
      <c r="AB100" s="7" t="s">
        <v>126</v>
      </c>
      <c r="AC100" s="7" t="n">
        <v>0</v>
      </c>
      <c r="AD100" s="7" t="n">
        <v>1</v>
      </c>
      <c r="AE100" s="7" t="n">
        <v>0</v>
      </c>
      <c r="AF100" s="7" t="n">
        <v>1</v>
      </c>
      <c r="AG100" s="7" t="n">
        <v>1</v>
      </c>
      <c r="AH100" s="7" t="n">
        <v>0</v>
      </c>
      <c r="AI100" s="7" t="n">
        <v>0</v>
      </c>
    </row>
    <row r="101" customFormat="false" ht="35.05" hidden="false" customHeight="false" outlineLevel="0" collapsed="false">
      <c r="A101" s="7" t="s">
        <v>405</v>
      </c>
      <c r="B101" s="7"/>
      <c r="C101" s="7" t="s">
        <v>406</v>
      </c>
      <c r="D101" s="7" t="s">
        <v>393</v>
      </c>
      <c r="E101" s="7" t="s">
        <v>113</v>
      </c>
      <c r="F101" s="7" t="s">
        <v>113</v>
      </c>
      <c r="G101" s="7"/>
      <c r="H101" s="7" t="s">
        <v>360</v>
      </c>
      <c r="I101" s="7" t="s">
        <v>151</v>
      </c>
      <c r="J101" s="10"/>
      <c r="K101" s="10" t="n">
        <v>1300</v>
      </c>
      <c r="L101" s="11"/>
      <c r="M101" s="7" t="s">
        <v>116</v>
      </c>
      <c r="N101" s="7" t="s">
        <v>117</v>
      </c>
      <c r="O101" s="10" t="n">
        <v>920</v>
      </c>
      <c r="P101" s="10" t="str">
        <f aca="false">IF(AND(ISNUMBER(J101),J101&gt;0),ROUND(J101*Assumptions!$B$4,2),"")</f>
        <v/>
      </c>
      <c r="Q101" s="7" t="str">
        <f aca="false">IF(AND(ISNUMBER(K101),ISNUMBER(O101)),IF(ROUND(K101*Assumptions!$B$4,2)=O101,"Equals 70%","Differs ("&amp;TEXT(O101/K101,"0%")&amp;" of B2C)"),"")</f>
        <v>Differs (71% of B2C)</v>
      </c>
      <c r="R101" s="7" t="s">
        <v>118</v>
      </c>
      <c r="S101" s="7"/>
      <c r="T101" s="7" t="s">
        <v>212</v>
      </c>
      <c r="U101" s="7" t="s">
        <v>120</v>
      </c>
      <c r="V101" s="7" t="s">
        <v>121</v>
      </c>
      <c r="W101" s="7" t="s">
        <v>117</v>
      </c>
      <c r="X101" s="7" t="s">
        <v>394</v>
      </c>
      <c r="Y101" s="7" t="s">
        <v>123</v>
      </c>
      <c r="Z101" s="7" t="s">
        <v>124</v>
      </c>
      <c r="AA101" s="7"/>
      <c r="AB101" s="7" t="s">
        <v>154</v>
      </c>
      <c r="AC101" s="7" t="n">
        <v>0</v>
      </c>
      <c r="AD101" s="7" t="n">
        <v>1</v>
      </c>
      <c r="AE101" s="7" t="n">
        <v>0</v>
      </c>
      <c r="AF101" s="7" t="n">
        <v>1</v>
      </c>
      <c r="AG101" s="7" t="n">
        <v>0</v>
      </c>
      <c r="AH101" s="7" t="n">
        <v>0</v>
      </c>
      <c r="AI101" s="7" t="n">
        <v>0</v>
      </c>
    </row>
    <row r="102" customFormat="false" ht="35.05" hidden="false" customHeight="false" outlineLevel="0" collapsed="false">
      <c r="A102" s="7" t="s">
        <v>407</v>
      </c>
      <c r="B102" s="7" t="s">
        <v>408</v>
      </c>
      <c r="C102" s="7" t="s">
        <v>409</v>
      </c>
      <c r="D102" s="7" t="s">
        <v>410</v>
      </c>
      <c r="E102" s="7" t="s">
        <v>207</v>
      </c>
      <c r="F102" s="7" t="s">
        <v>207</v>
      </c>
      <c r="G102" s="7" t="s">
        <v>157</v>
      </c>
      <c r="H102" s="7" t="s">
        <v>410</v>
      </c>
      <c r="I102" s="12" t="s">
        <v>411</v>
      </c>
      <c r="J102" s="10" t="n">
        <v>150</v>
      </c>
      <c r="K102" s="10" t="n">
        <v>150</v>
      </c>
      <c r="L102" s="11"/>
      <c r="M102" s="7" t="s">
        <v>210</v>
      </c>
      <c r="N102" s="7" t="s">
        <v>129</v>
      </c>
      <c r="O102" s="10" t="n">
        <v>100</v>
      </c>
      <c r="P102" s="10" t="n">
        <f aca="false">IF(AND(ISNUMBER(J102),J102&gt;0),ROUND(J102*Assumptions!$B$4,2),"")</f>
        <v>105</v>
      </c>
      <c r="Q102" s="7" t="str">
        <f aca="false">IF(AND(ISNUMBER(K102),ISNUMBER(O102)),IF(ROUND(K102*Assumptions!$B$4,2)=O102,"Equals 70%","Differs ("&amp;TEXT(O102/K102,"0%")&amp;" of B2C)"),"")</f>
        <v>Differs (67% of B2C)</v>
      </c>
      <c r="R102" s="7" t="s">
        <v>211</v>
      </c>
      <c r="S102" s="7" t="s">
        <v>131</v>
      </c>
      <c r="T102" s="7" t="s">
        <v>212</v>
      </c>
      <c r="U102" s="7" t="s">
        <v>120</v>
      </c>
      <c r="V102" s="7" t="s">
        <v>121</v>
      </c>
      <c r="W102" s="7" t="s">
        <v>213</v>
      </c>
      <c r="X102" s="7" t="s">
        <v>412</v>
      </c>
      <c r="Y102" s="7" t="s">
        <v>124</v>
      </c>
      <c r="Z102" s="7" t="s">
        <v>124</v>
      </c>
      <c r="AA102" s="7"/>
      <c r="AB102" s="7" t="s">
        <v>413</v>
      </c>
      <c r="AC102" s="7" t="n">
        <v>1</v>
      </c>
      <c r="AD102" s="7" t="n">
        <v>1</v>
      </c>
      <c r="AE102" s="7" t="n">
        <v>1</v>
      </c>
      <c r="AF102" s="7" t="n">
        <v>1</v>
      </c>
      <c r="AG102" s="7" t="n">
        <v>0</v>
      </c>
      <c r="AH102" s="7" t="n">
        <v>0</v>
      </c>
      <c r="AI102" s="7" t="n">
        <v>1</v>
      </c>
    </row>
    <row r="103" customFormat="false" ht="35.05" hidden="false" customHeight="false" outlineLevel="0" collapsed="false">
      <c r="A103" s="7" t="s">
        <v>414</v>
      </c>
      <c r="B103" s="7" t="s">
        <v>415</v>
      </c>
      <c r="C103" s="7" t="s">
        <v>416</v>
      </c>
      <c r="D103" s="7" t="s">
        <v>410</v>
      </c>
      <c r="E103" s="7" t="s">
        <v>207</v>
      </c>
      <c r="F103" s="7" t="s">
        <v>207</v>
      </c>
      <c r="G103" s="7" t="s">
        <v>157</v>
      </c>
      <c r="H103" s="7" t="s">
        <v>410</v>
      </c>
      <c r="I103" s="12" t="s">
        <v>411</v>
      </c>
      <c r="J103" s="10" t="n">
        <v>300</v>
      </c>
      <c r="K103" s="10" t="n">
        <v>300</v>
      </c>
      <c r="L103" s="11"/>
      <c r="M103" s="7" t="s">
        <v>210</v>
      </c>
      <c r="N103" s="7" t="s">
        <v>129</v>
      </c>
      <c r="O103" s="10" t="n">
        <v>200</v>
      </c>
      <c r="P103" s="10" t="n">
        <f aca="false">IF(AND(ISNUMBER(J103),J103&gt;0),ROUND(J103*Assumptions!$B$4,2),"")</f>
        <v>210</v>
      </c>
      <c r="Q103" s="7" t="str">
        <f aca="false">IF(AND(ISNUMBER(K103),ISNUMBER(O103)),IF(ROUND(K103*Assumptions!$B$4,2)=O103,"Equals 70%","Differs ("&amp;TEXT(O103/K103,"0%")&amp;" of B2C)"),"")</f>
        <v>Differs (67% of B2C)</v>
      </c>
      <c r="R103" s="7" t="s">
        <v>211</v>
      </c>
      <c r="S103" s="7" t="s">
        <v>131</v>
      </c>
      <c r="T103" s="7" t="s">
        <v>212</v>
      </c>
      <c r="U103" s="7" t="s">
        <v>120</v>
      </c>
      <c r="V103" s="7" t="s">
        <v>121</v>
      </c>
      <c r="W103" s="7" t="s">
        <v>213</v>
      </c>
      <c r="X103" s="7" t="s">
        <v>412</v>
      </c>
      <c r="Y103" s="7" t="s">
        <v>124</v>
      </c>
      <c r="Z103" s="7" t="s">
        <v>124</v>
      </c>
      <c r="AA103" s="7"/>
      <c r="AB103" s="7" t="s">
        <v>215</v>
      </c>
      <c r="AC103" s="7" t="n">
        <v>1</v>
      </c>
      <c r="AD103" s="7" t="n">
        <v>1</v>
      </c>
      <c r="AE103" s="7" t="n">
        <v>1</v>
      </c>
      <c r="AF103" s="7" t="n">
        <v>1</v>
      </c>
      <c r="AG103" s="7" t="n">
        <v>0</v>
      </c>
      <c r="AH103" s="7" t="n">
        <v>0</v>
      </c>
      <c r="AI103" s="7" t="n">
        <v>0</v>
      </c>
    </row>
    <row r="104" customFormat="false" ht="46.25" hidden="false" customHeight="false" outlineLevel="0" collapsed="false">
      <c r="A104" s="7" t="s">
        <v>417</v>
      </c>
      <c r="B104" s="7" t="s">
        <v>418</v>
      </c>
      <c r="C104" s="7"/>
      <c r="D104" s="7" t="s">
        <v>419</v>
      </c>
      <c r="E104" s="7" t="s">
        <v>207</v>
      </c>
      <c r="F104" s="7"/>
      <c r="G104" s="7" t="s">
        <v>420</v>
      </c>
      <c r="H104" s="7"/>
      <c r="I104" s="12" t="s">
        <v>421</v>
      </c>
      <c r="J104" s="10" t="n">
        <v>700</v>
      </c>
      <c r="K104" s="10"/>
      <c r="L104" s="11"/>
      <c r="M104" s="7" t="s">
        <v>422</v>
      </c>
      <c r="N104" s="7" t="s">
        <v>129</v>
      </c>
      <c r="O104" s="10"/>
      <c r="P104" s="10" t="n">
        <f aca="false">IF(AND(ISNUMBER(J104),J104&gt;0),ROUND(J104*Assumptions!$B$4,2),"")</f>
        <v>490</v>
      </c>
      <c r="Q104" s="7" t="str">
        <f aca="false">IF(AND(ISNUMBER(K104),ISNUMBER(O104)),IF(ROUND(K104*Assumptions!$B$4,2)=O104,"Equals 70%","Differs ("&amp;TEXT(O104/K104,"0%")&amp;" of B2C)"),"")</f>
        <v/>
      </c>
      <c r="R104" s="7" t="s">
        <v>423</v>
      </c>
      <c r="S104" s="7" t="s">
        <v>131</v>
      </c>
      <c r="T104" s="7"/>
      <c r="U104" s="7" t="s">
        <v>132</v>
      </c>
      <c r="V104" s="7" t="s">
        <v>121</v>
      </c>
      <c r="W104" s="7" t="s">
        <v>213</v>
      </c>
      <c r="X104" s="7" t="s">
        <v>424</v>
      </c>
      <c r="Y104" s="7" t="s">
        <v>124</v>
      </c>
      <c r="Z104" s="7" t="s">
        <v>123</v>
      </c>
      <c r="AA104" s="7"/>
      <c r="AB104" s="7" t="s">
        <v>215</v>
      </c>
      <c r="AC104" s="7" t="n">
        <v>1</v>
      </c>
      <c r="AD104" s="7" t="n">
        <v>1</v>
      </c>
      <c r="AE104" s="7" t="n">
        <v>1</v>
      </c>
      <c r="AF104" s="7" t="n">
        <v>1</v>
      </c>
      <c r="AG104" s="7" t="n">
        <v>0</v>
      </c>
      <c r="AH104" s="7" t="n">
        <v>0</v>
      </c>
      <c r="AI104" s="7" t="n">
        <v>0</v>
      </c>
    </row>
    <row r="105" customFormat="false" ht="35.05" hidden="false" customHeight="false" outlineLevel="0" collapsed="false">
      <c r="A105" s="7" t="s">
        <v>425</v>
      </c>
      <c r="B105" s="7" t="s">
        <v>426</v>
      </c>
      <c r="C105" s="7" t="s">
        <v>427</v>
      </c>
      <c r="D105" s="7" t="s">
        <v>419</v>
      </c>
      <c r="E105" s="7" t="s">
        <v>207</v>
      </c>
      <c r="F105" s="7" t="s">
        <v>207</v>
      </c>
      <c r="G105" s="7" t="s">
        <v>157</v>
      </c>
      <c r="H105" s="7" t="s">
        <v>208</v>
      </c>
      <c r="I105" s="12" t="s">
        <v>209</v>
      </c>
      <c r="J105" s="10" t="n">
        <v>2200</v>
      </c>
      <c r="K105" s="10" t="n">
        <v>2200</v>
      </c>
      <c r="L105" s="11"/>
      <c r="M105" s="7" t="s">
        <v>210</v>
      </c>
      <c r="N105" s="7" t="s">
        <v>129</v>
      </c>
      <c r="O105" s="10" t="n">
        <v>1300</v>
      </c>
      <c r="P105" s="10" t="n">
        <f aca="false">IF(AND(ISNUMBER(J105),J105&gt;0),ROUND(J105*Assumptions!$B$4,2),"")</f>
        <v>1540</v>
      </c>
      <c r="Q105" s="7" t="str">
        <f aca="false">IF(AND(ISNUMBER(K105),ISNUMBER(O105)),IF(ROUND(K105*Assumptions!$B$4,2)=O105,"Equals 70%","Differs ("&amp;TEXT(O105/K105,"0%")&amp;" of B2C)"),"")</f>
        <v>Differs (59% of B2C)</v>
      </c>
      <c r="R105" s="7" t="s">
        <v>211</v>
      </c>
      <c r="S105" s="7" t="s">
        <v>131</v>
      </c>
      <c r="T105" s="7" t="s">
        <v>212</v>
      </c>
      <c r="U105" s="7" t="s">
        <v>120</v>
      </c>
      <c r="V105" s="7" t="s">
        <v>121</v>
      </c>
      <c r="W105" s="7" t="s">
        <v>213</v>
      </c>
      <c r="X105" s="7" t="s">
        <v>424</v>
      </c>
      <c r="Y105" s="7" t="s">
        <v>124</v>
      </c>
      <c r="Z105" s="7" t="s">
        <v>124</v>
      </c>
      <c r="AA105" s="7" t="s">
        <v>428</v>
      </c>
      <c r="AB105" s="7" t="s">
        <v>429</v>
      </c>
      <c r="AC105" s="7" t="n">
        <v>1</v>
      </c>
      <c r="AD105" s="7" t="n">
        <v>1</v>
      </c>
      <c r="AE105" s="7" t="n">
        <v>1</v>
      </c>
      <c r="AF105" s="7" t="n">
        <v>1</v>
      </c>
      <c r="AG105" s="7" t="n">
        <v>1</v>
      </c>
      <c r="AH105" s="7" t="n">
        <v>0</v>
      </c>
      <c r="AI105" s="7" t="n">
        <v>0</v>
      </c>
    </row>
    <row r="106" customFormat="false" ht="46.25" hidden="false" customHeight="false" outlineLevel="0" collapsed="false">
      <c r="A106" s="7" t="s">
        <v>428</v>
      </c>
      <c r="B106" s="7" t="s">
        <v>430</v>
      </c>
      <c r="C106" s="7"/>
      <c r="D106" s="7" t="s">
        <v>419</v>
      </c>
      <c r="E106" s="7" t="s">
        <v>207</v>
      </c>
      <c r="F106" s="7"/>
      <c r="G106" s="7" t="s">
        <v>431</v>
      </c>
      <c r="H106" s="7"/>
      <c r="I106" s="12" t="s">
        <v>432</v>
      </c>
      <c r="J106" s="10" t="n">
        <v>2000</v>
      </c>
      <c r="K106" s="10"/>
      <c r="L106" s="11"/>
      <c r="M106" s="7" t="s">
        <v>422</v>
      </c>
      <c r="N106" s="7" t="s">
        <v>129</v>
      </c>
      <c r="O106" s="10"/>
      <c r="P106" s="10" t="n">
        <f aca="false">IF(AND(ISNUMBER(J106),J106&gt;0),ROUND(J106*Assumptions!$B$4,2),"")</f>
        <v>1400</v>
      </c>
      <c r="Q106" s="7" t="str">
        <f aca="false">IF(AND(ISNUMBER(K106),ISNUMBER(O106)),IF(ROUND(K106*Assumptions!$B$4,2)=O106,"Equals 70%","Differs ("&amp;TEXT(O106/K106,"0%")&amp;" of B2C)"),"")</f>
        <v/>
      </c>
      <c r="R106" s="7" t="s">
        <v>423</v>
      </c>
      <c r="S106" s="7" t="s">
        <v>131</v>
      </c>
      <c r="T106" s="7"/>
      <c r="U106" s="7" t="s">
        <v>132</v>
      </c>
      <c r="V106" s="7" t="s">
        <v>121</v>
      </c>
      <c r="W106" s="7" t="s">
        <v>213</v>
      </c>
      <c r="X106" s="7" t="s">
        <v>424</v>
      </c>
      <c r="Y106" s="7" t="s">
        <v>124</v>
      </c>
      <c r="Z106" s="7" t="s">
        <v>123</v>
      </c>
      <c r="AA106" s="7" t="s">
        <v>433</v>
      </c>
      <c r="AB106" s="7" t="s">
        <v>429</v>
      </c>
      <c r="AC106" s="7" t="n">
        <v>1</v>
      </c>
      <c r="AD106" s="7" t="n">
        <v>1</v>
      </c>
      <c r="AE106" s="7" t="n">
        <v>1</v>
      </c>
      <c r="AF106" s="7" t="n">
        <v>1</v>
      </c>
      <c r="AG106" s="7" t="n">
        <v>1</v>
      </c>
      <c r="AH106" s="7" t="n">
        <v>0</v>
      </c>
      <c r="AI106" s="7" t="n">
        <v>0</v>
      </c>
    </row>
    <row r="107" customFormat="false" ht="35.05" hidden="false" customHeight="false" outlineLevel="0" collapsed="false">
      <c r="A107" s="7" t="s">
        <v>434</v>
      </c>
      <c r="B107" s="7" t="s">
        <v>435</v>
      </c>
      <c r="C107" s="7" t="s">
        <v>436</v>
      </c>
      <c r="D107" s="7" t="s">
        <v>419</v>
      </c>
      <c r="E107" s="7" t="s">
        <v>207</v>
      </c>
      <c r="F107" s="7" t="s">
        <v>207</v>
      </c>
      <c r="G107" s="7" t="s">
        <v>157</v>
      </c>
      <c r="H107" s="7" t="s">
        <v>208</v>
      </c>
      <c r="I107" s="12" t="s">
        <v>209</v>
      </c>
      <c r="J107" s="10" t="n">
        <v>2400</v>
      </c>
      <c r="K107" s="10" t="n">
        <v>2400</v>
      </c>
      <c r="L107" s="11"/>
      <c r="M107" s="7" t="s">
        <v>210</v>
      </c>
      <c r="N107" s="7" t="s">
        <v>129</v>
      </c>
      <c r="O107" s="10" t="n">
        <v>1450</v>
      </c>
      <c r="P107" s="10" t="n">
        <f aca="false">IF(AND(ISNUMBER(J107),J107&gt;0),ROUND(J107*Assumptions!$B$4,2),"")</f>
        <v>1680</v>
      </c>
      <c r="Q107" s="7" t="str">
        <f aca="false">IF(AND(ISNUMBER(K107),ISNUMBER(O107)),IF(ROUND(K107*Assumptions!$B$4,2)=O107,"Equals 70%","Differs ("&amp;TEXT(O107/K107,"0%")&amp;" of B2C)"),"")</f>
        <v>Differs (60% of B2C)</v>
      </c>
      <c r="R107" s="7" t="s">
        <v>211</v>
      </c>
      <c r="S107" s="7" t="s">
        <v>131</v>
      </c>
      <c r="T107" s="7" t="s">
        <v>212</v>
      </c>
      <c r="U107" s="7" t="s">
        <v>120</v>
      </c>
      <c r="V107" s="7" t="s">
        <v>121</v>
      </c>
      <c r="W107" s="7" t="s">
        <v>213</v>
      </c>
      <c r="X107" s="7" t="s">
        <v>424</v>
      </c>
      <c r="Y107" s="7" t="s">
        <v>124</v>
      </c>
      <c r="Z107" s="7" t="s">
        <v>124</v>
      </c>
      <c r="AA107" s="7" t="s">
        <v>428</v>
      </c>
      <c r="AB107" s="7" t="s">
        <v>429</v>
      </c>
      <c r="AC107" s="7" t="n">
        <v>1</v>
      </c>
      <c r="AD107" s="7" t="n">
        <v>1</v>
      </c>
      <c r="AE107" s="7" t="n">
        <v>1</v>
      </c>
      <c r="AF107" s="7" t="n">
        <v>1</v>
      </c>
      <c r="AG107" s="7" t="n">
        <v>1</v>
      </c>
      <c r="AH107" s="7" t="n">
        <v>0</v>
      </c>
      <c r="AI107" s="7" t="n">
        <v>0</v>
      </c>
    </row>
    <row r="108" customFormat="false" ht="35.05" hidden="false" customHeight="false" outlineLevel="0" collapsed="false">
      <c r="A108" s="7" t="s">
        <v>437</v>
      </c>
      <c r="B108" s="7"/>
      <c r="C108" s="7" t="s">
        <v>438</v>
      </c>
      <c r="D108" s="7" t="s">
        <v>419</v>
      </c>
      <c r="E108" s="7" t="s">
        <v>207</v>
      </c>
      <c r="F108" s="7" t="s">
        <v>207</v>
      </c>
      <c r="G108" s="7"/>
      <c r="H108" s="7" t="s">
        <v>208</v>
      </c>
      <c r="I108" s="12" t="s">
        <v>439</v>
      </c>
      <c r="J108" s="10"/>
      <c r="K108" s="10" t="n">
        <v>2500</v>
      </c>
      <c r="L108" s="11"/>
      <c r="M108" s="7" t="s">
        <v>116</v>
      </c>
      <c r="N108" s="7" t="s">
        <v>117</v>
      </c>
      <c r="O108" s="10" t="n">
        <v>1500</v>
      </c>
      <c r="P108" s="10" t="str">
        <f aca="false">IF(AND(ISNUMBER(J108),J108&gt;0),ROUND(J108*Assumptions!$B$4,2),"")</f>
        <v/>
      </c>
      <c r="Q108" s="7" t="str">
        <f aca="false">IF(AND(ISNUMBER(K108),ISNUMBER(O108)),IF(ROUND(K108*Assumptions!$B$4,2)=O108,"Equals 70%","Differs ("&amp;TEXT(O108/K108,"0%")&amp;" of B2C)"),"")</f>
        <v>Differs (60% of B2C)</v>
      </c>
      <c r="R108" s="7" t="s">
        <v>118</v>
      </c>
      <c r="S108" s="7"/>
      <c r="T108" s="7" t="s">
        <v>212</v>
      </c>
      <c r="U108" s="7" t="s">
        <v>120</v>
      </c>
      <c r="V108" s="7" t="s">
        <v>121</v>
      </c>
      <c r="W108" s="7" t="s">
        <v>117</v>
      </c>
      <c r="X108" s="7" t="s">
        <v>440</v>
      </c>
      <c r="Y108" s="7" t="s">
        <v>123</v>
      </c>
      <c r="Z108" s="7" t="s">
        <v>124</v>
      </c>
      <c r="AA108" s="7" t="s">
        <v>428</v>
      </c>
      <c r="AB108" s="7" t="s">
        <v>233</v>
      </c>
      <c r="AC108" s="7" t="n">
        <v>1</v>
      </c>
      <c r="AD108" s="7" t="n">
        <v>1</v>
      </c>
      <c r="AE108" s="7" t="n">
        <v>0</v>
      </c>
      <c r="AF108" s="7" t="n">
        <v>1</v>
      </c>
      <c r="AG108" s="7" t="n">
        <v>1</v>
      </c>
      <c r="AH108" s="7" t="n">
        <v>0</v>
      </c>
      <c r="AI108" s="7" t="n">
        <v>0</v>
      </c>
    </row>
    <row r="109" customFormat="false" ht="46.25" hidden="false" customHeight="false" outlineLevel="0" collapsed="false">
      <c r="A109" s="7" t="s">
        <v>441</v>
      </c>
      <c r="B109" s="7" t="s">
        <v>442</v>
      </c>
      <c r="C109" s="7"/>
      <c r="D109" s="7" t="s">
        <v>419</v>
      </c>
      <c r="E109" s="7" t="s">
        <v>207</v>
      </c>
      <c r="F109" s="7"/>
      <c r="G109" s="7" t="s">
        <v>443</v>
      </c>
      <c r="H109" s="7"/>
      <c r="I109" s="12" t="s">
        <v>444</v>
      </c>
      <c r="J109" s="10" t="n">
        <v>200</v>
      </c>
      <c r="K109" s="10"/>
      <c r="L109" s="11"/>
      <c r="M109" s="7" t="s">
        <v>422</v>
      </c>
      <c r="N109" s="7" t="s">
        <v>129</v>
      </c>
      <c r="O109" s="10"/>
      <c r="P109" s="10" t="n">
        <f aca="false">IF(AND(ISNUMBER(J109),J109&gt;0),ROUND(J109*Assumptions!$B$4,2),"")</f>
        <v>140</v>
      </c>
      <c r="Q109" s="7" t="str">
        <f aca="false">IF(AND(ISNUMBER(K109),ISNUMBER(O109)),IF(ROUND(K109*Assumptions!$B$4,2)=O109,"Equals 70%","Differs ("&amp;TEXT(O109/K109,"0%")&amp;" of B2C)"),"")</f>
        <v/>
      </c>
      <c r="R109" s="7" t="s">
        <v>423</v>
      </c>
      <c r="S109" s="7" t="s">
        <v>131</v>
      </c>
      <c r="T109" s="7"/>
      <c r="U109" s="7" t="s">
        <v>132</v>
      </c>
      <c r="V109" s="7" t="s">
        <v>121</v>
      </c>
      <c r="W109" s="7" t="s">
        <v>213</v>
      </c>
      <c r="X109" s="7" t="s">
        <v>424</v>
      </c>
      <c r="Y109" s="7" t="s">
        <v>124</v>
      </c>
      <c r="Z109" s="7" t="s">
        <v>123</v>
      </c>
      <c r="AA109" s="7"/>
      <c r="AB109" s="7" t="s">
        <v>215</v>
      </c>
      <c r="AC109" s="7" t="n">
        <v>1</v>
      </c>
      <c r="AD109" s="7" t="n">
        <v>1</v>
      </c>
      <c r="AE109" s="7" t="n">
        <v>1</v>
      </c>
      <c r="AF109" s="7" t="n">
        <v>1</v>
      </c>
      <c r="AG109" s="7" t="n">
        <v>0</v>
      </c>
      <c r="AH109" s="7" t="n">
        <v>0</v>
      </c>
      <c r="AI109" s="7" t="n">
        <v>0</v>
      </c>
    </row>
    <row r="110" customFormat="false" ht="35.05" hidden="false" customHeight="false" outlineLevel="0" collapsed="false">
      <c r="A110" s="7" t="s">
        <v>445</v>
      </c>
      <c r="B110" s="7"/>
      <c r="C110" s="7" t="s">
        <v>446</v>
      </c>
      <c r="D110" s="7" t="s">
        <v>419</v>
      </c>
      <c r="E110" s="7" t="s">
        <v>207</v>
      </c>
      <c r="F110" s="7" t="s">
        <v>207</v>
      </c>
      <c r="G110" s="7"/>
      <c r="H110" s="7" t="s">
        <v>208</v>
      </c>
      <c r="I110" s="12" t="s">
        <v>439</v>
      </c>
      <c r="J110" s="10"/>
      <c r="K110" s="10" t="n">
        <v>2600</v>
      </c>
      <c r="L110" s="11"/>
      <c r="M110" s="7" t="s">
        <v>116</v>
      </c>
      <c r="N110" s="7" t="s">
        <v>117</v>
      </c>
      <c r="O110" s="10" t="n">
        <v>1600</v>
      </c>
      <c r="P110" s="10" t="str">
        <f aca="false">IF(AND(ISNUMBER(J110),J110&gt;0),ROUND(J110*Assumptions!$B$4,2),"")</f>
        <v/>
      </c>
      <c r="Q110" s="7" t="str">
        <f aca="false">IF(AND(ISNUMBER(K110),ISNUMBER(O110)),IF(ROUND(K110*Assumptions!$B$4,2)=O110,"Equals 70%","Differs ("&amp;TEXT(O110/K110,"0%")&amp;" of B2C)"),"")</f>
        <v>Differs (62% of B2C)</v>
      </c>
      <c r="R110" s="7" t="s">
        <v>118</v>
      </c>
      <c r="S110" s="7"/>
      <c r="T110" s="7" t="s">
        <v>212</v>
      </c>
      <c r="U110" s="7" t="s">
        <v>120</v>
      </c>
      <c r="V110" s="7" t="s">
        <v>121</v>
      </c>
      <c r="W110" s="7" t="s">
        <v>117</v>
      </c>
      <c r="X110" s="7" t="s">
        <v>440</v>
      </c>
      <c r="Y110" s="7" t="s">
        <v>123</v>
      </c>
      <c r="Z110" s="7" t="s">
        <v>124</v>
      </c>
      <c r="AA110" s="7" t="s">
        <v>428</v>
      </c>
      <c r="AB110" s="7" t="s">
        <v>233</v>
      </c>
      <c r="AC110" s="7" t="n">
        <v>1</v>
      </c>
      <c r="AD110" s="7" t="n">
        <v>1</v>
      </c>
      <c r="AE110" s="7" t="n">
        <v>0</v>
      </c>
      <c r="AF110" s="7" t="n">
        <v>1</v>
      </c>
      <c r="AG110" s="7" t="n">
        <v>1</v>
      </c>
      <c r="AH110" s="7" t="n">
        <v>0</v>
      </c>
      <c r="AI110" s="7" t="n">
        <v>0</v>
      </c>
    </row>
  </sheetData>
  <autoFilter ref="A5:AI110"/>
  <mergeCells count="1">
    <mergeCell ref="A2:N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46"/>
    <col collapsed="false" customWidth="true" hidden="false" outlineLevel="0" max="3" min="3" style="0" width="70"/>
    <col collapsed="false" customWidth="true" hidden="false" outlineLevel="0" max="4" min="4" style="0" width="26"/>
    <col collapsed="false" customWidth="true" hidden="false" outlineLevel="0" max="5" min="5" style="0" width="40"/>
  </cols>
  <sheetData>
    <row r="1" customFormat="false" ht="17.35" hidden="false" customHeight="false" outlineLevel="0" collapsed="false">
      <c r="A1" s="1" t="s">
        <v>447</v>
      </c>
      <c r="B1" s="2"/>
      <c r="C1" s="2"/>
      <c r="D1" s="2"/>
      <c r="E1" s="2"/>
    </row>
    <row r="2" customFormat="false" ht="15" hidden="false" customHeight="false" outlineLevel="0" collapsed="false">
      <c r="A2" s="2"/>
      <c r="B2" s="2"/>
      <c r="C2" s="2"/>
      <c r="D2" s="2"/>
      <c r="E2" s="2"/>
    </row>
    <row r="3" customFormat="false" ht="15" hidden="false" customHeight="false" outlineLevel="0" collapsed="false">
      <c r="A3" s="6" t="s">
        <v>448</v>
      </c>
      <c r="B3" s="6" t="s">
        <v>449</v>
      </c>
      <c r="C3" s="6" t="s">
        <v>450</v>
      </c>
      <c r="D3" s="6" t="s">
        <v>451</v>
      </c>
      <c r="E3" s="6" t="s">
        <v>452</v>
      </c>
    </row>
    <row r="4" customFormat="false" ht="35.05" hidden="false" customHeight="false" outlineLevel="0" collapsed="false">
      <c r="A4" s="7" t="n">
        <v>1</v>
      </c>
      <c r="B4" s="7" t="s">
        <v>453</v>
      </c>
      <c r="C4" s="7" t="s">
        <v>454</v>
      </c>
      <c r="D4" s="7" t="s">
        <v>455</v>
      </c>
      <c r="E4" s="7" t="s">
        <v>456</v>
      </c>
    </row>
    <row r="5" customFormat="false" ht="35.05" hidden="false" customHeight="false" outlineLevel="0" collapsed="false">
      <c r="A5" s="7" t="n">
        <v>2</v>
      </c>
      <c r="B5" s="7" t="s">
        <v>457</v>
      </c>
      <c r="C5" s="7" t="s">
        <v>458</v>
      </c>
      <c r="D5" s="7" t="s">
        <v>459</v>
      </c>
      <c r="E5" s="7" t="s">
        <v>460</v>
      </c>
    </row>
    <row r="6" customFormat="false" ht="23.85" hidden="false" customHeight="false" outlineLevel="0" collapsed="false">
      <c r="A6" s="7" t="n">
        <v>3</v>
      </c>
      <c r="B6" s="7" t="s">
        <v>461</v>
      </c>
      <c r="C6" s="7" t="s">
        <v>462</v>
      </c>
      <c r="D6" s="7" t="s">
        <v>463</v>
      </c>
      <c r="E6" s="7" t="s">
        <v>464</v>
      </c>
    </row>
    <row r="7" customFormat="false" ht="23.85" hidden="false" customHeight="false" outlineLevel="0" collapsed="false">
      <c r="A7" s="7" t="n">
        <v>4</v>
      </c>
      <c r="B7" s="7" t="s">
        <v>465</v>
      </c>
      <c r="C7" s="7" t="s">
        <v>466</v>
      </c>
      <c r="D7" s="7" t="s">
        <v>467</v>
      </c>
      <c r="E7" s="7" t="s">
        <v>468</v>
      </c>
    </row>
    <row r="8" customFormat="false" ht="23.85" hidden="false" customHeight="false" outlineLevel="0" collapsed="false">
      <c r="A8" s="7" t="n">
        <v>5</v>
      </c>
      <c r="B8" s="7" t="s">
        <v>469</v>
      </c>
      <c r="C8" s="7" t="s">
        <v>470</v>
      </c>
      <c r="D8" s="7" t="s">
        <v>471</v>
      </c>
      <c r="E8" s="7" t="s">
        <v>472</v>
      </c>
    </row>
    <row r="9" customFormat="false" ht="23.85" hidden="false" customHeight="false" outlineLevel="0" collapsed="false">
      <c r="A9" s="7" t="n">
        <v>6</v>
      </c>
      <c r="B9" s="7" t="s">
        <v>473</v>
      </c>
      <c r="C9" s="7" t="s">
        <v>474</v>
      </c>
      <c r="D9" s="7" t="s">
        <v>475</v>
      </c>
      <c r="E9" s="7" t="s">
        <v>476</v>
      </c>
    </row>
    <row r="10" customFormat="false" ht="46.25" hidden="false" customHeight="false" outlineLevel="0" collapsed="false">
      <c r="A10" s="7" t="n">
        <v>7</v>
      </c>
      <c r="B10" s="7" t="s">
        <v>477</v>
      </c>
      <c r="C10" s="7" t="s">
        <v>478</v>
      </c>
      <c r="D10" s="7" t="s">
        <v>479</v>
      </c>
      <c r="E10" s="7" t="s">
        <v>480</v>
      </c>
    </row>
    <row r="11" customFormat="false" ht="23.85" hidden="false" customHeight="false" outlineLevel="0" collapsed="false">
      <c r="A11" s="7" t="n">
        <v>8</v>
      </c>
      <c r="B11" s="7" t="s">
        <v>481</v>
      </c>
      <c r="C11" s="7" t="s">
        <v>482</v>
      </c>
      <c r="D11" s="7" t="s">
        <v>479</v>
      </c>
      <c r="E11" s="7" t="s">
        <v>483</v>
      </c>
    </row>
    <row r="12" customFormat="false" ht="23.85" hidden="false" customHeight="false" outlineLevel="0" collapsed="false">
      <c r="A12" s="7" t="n">
        <v>9</v>
      </c>
      <c r="B12" s="7" t="s">
        <v>484</v>
      </c>
      <c r="C12" s="7" t="s">
        <v>485</v>
      </c>
      <c r="D12" s="7" t="s">
        <v>486</v>
      </c>
      <c r="E12" s="7" t="s">
        <v>487</v>
      </c>
    </row>
    <row r="13" customFormat="false" ht="23.85" hidden="false" customHeight="false" outlineLevel="0" collapsed="false">
      <c r="A13" s="7" t="n">
        <v>10</v>
      </c>
      <c r="B13" s="7" t="s">
        <v>488</v>
      </c>
      <c r="C13" s="7" t="s">
        <v>489</v>
      </c>
      <c r="D13" s="7" t="s">
        <v>490</v>
      </c>
      <c r="E13" s="7" t="s">
        <v>491</v>
      </c>
    </row>
    <row r="14" customFormat="false" ht="23.85" hidden="false" customHeight="false" outlineLevel="0" collapsed="false">
      <c r="A14" s="7" t="n">
        <v>11</v>
      </c>
      <c r="B14" s="7" t="s">
        <v>492</v>
      </c>
      <c r="C14" s="7" t="s">
        <v>493</v>
      </c>
      <c r="D14" s="7" t="s">
        <v>467</v>
      </c>
      <c r="E14" s="7" t="s">
        <v>494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2"/>
    <col collapsed="false" customWidth="true" hidden="false" outlineLevel="0" max="3" min="3" style="0" width="12"/>
    <col collapsed="false" customWidth="true" hidden="false" outlineLevel="0" max="4" min="4" style="0" width="80"/>
    <col collapsed="false" customWidth="true" hidden="false" outlineLevel="0" max="5" min="5" style="0" width="22"/>
    <col collapsed="false" customWidth="true" hidden="false" outlineLevel="0" max="6" min="6" style="0" width="20"/>
    <col collapsed="false" customWidth="true" hidden="false" outlineLevel="0" max="7" min="7" style="0" width="12"/>
  </cols>
  <sheetData>
    <row r="1" customFormat="false" ht="17.35" hidden="false" customHeight="false" outlineLevel="0" collapsed="false">
      <c r="A1" s="1" t="s">
        <v>495</v>
      </c>
      <c r="B1" s="2"/>
      <c r="C1" s="2"/>
      <c r="D1" s="2"/>
      <c r="E1" s="2"/>
      <c r="F1" s="2"/>
      <c r="G1" s="2"/>
    </row>
    <row r="2" customFormat="false" ht="15" hidden="false" customHeight="false" outlineLevel="0" collapsed="false">
      <c r="A2" s="5" t="s">
        <v>496</v>
      </c>
      <c r="B2" s="2"/>
      <c r="C2" s="2"/>
      <c r="D2" s="2"/>
      <c r="E2" s="2"/>
      <c r="F2" s="2"/>
      <c r="G2" s="2"/>
    </row>
    <row r="3" customFormat="false" ht="15" hidden="false" customHeight="false" outlineLevel="0" collapsed="false">
      <c r="A3" s="2"/>
      <c r="B3" s="2"/>
      <c r="C3" s="2"/>
      <c r="D3" s="2"/>
      <c r="E3" s="2"/>
      <c r="F3" s="2"/>
      <c r="G3" s="2"/>
    </row>
    <row r="4" customFormat="false" ht="15" hidden="false" customHeight="false" outlineLevel="0" collapsed="false">
      <c r="A4" s="6" t="s">
        <v>75</v>
      </c>
      <c r="B4" s="6" t="s">
        <v>81</v>
      </c>
      <c r="C4" s="6" t="s">
        <v>82</v>
      </c>
      <c r="D4" s="6" t="s">
        <v>497</v>
      </c>
      <c r="E4" s="6" t="s">
        <v>498</v>
      </c>
      <c r="F4" s="6" t="s">
        <v>499</v>
      </c>
      <c r="G4" s="6" t="s">
        <v>500</v>
      </c>
    </row>
    <row r="5" customFormat="false" ht="23.85" hidden="false" customHeight="false" outlineLevel="0" collapsed="false">
      <c r="A5" s="7" t="s">
        <v>163</v>
      </c>
      <c r="B5" s="7" t="s">
        <v>157</v>
      </c>
      <c r="C5" s="7" t="s">
        <v>150</v>
      </c>
      <c r="D5" s="7" t="s">
        <v>166</v>
      </c>
      <c r="E5" s="13"/>
      <c r="F5" s="13"/>
      <c r="G5" s="13"/>
    </row>
    <row r="6" customFormat="false" ht="15" hidden="false" customHeight="false" outlineLevel="0" collapsed="false">
      <c r="A6" s="7" t="s">
        <v>203</v>
      </c>
      <c r="B6" s="7" t="s">
        <v>157</v>
      </c>
      <c r="C6" s="7" t="s">
        <v>208</v>
      </c>
      <c r="D6" s="7" t="s">
        <v>209</v>
      </c>
      <c r="E6" s="13"/>
      <c r="F6" s="13"/>
      <c r="G6" s="13"/>
    </row>
    <row r="7" customFormat="false" ht="15" hidden="false" customHeight="false" outlineLevel="0" collapsed="false">
      <c r="A7" s="7" t="s">
        <v>216</v>
      </c>
      <c r="B7" s="7"/>
      <c r="C7" s="7" t="s">
        <v>208</v>
      </c>
      <c r="D7" s="7" t="s">
        <v>218</v>
      </c>
      <c r="E7" s="13"/>
      <c r="F7" s="13"/>
      <c r="G7" s="13"/>
    </row>
    <row r="8" customFormat="false" ht="23.85" hidden="false" customHeight="false" outlineLevel="0" collapsed="false">
      <c r="A8" s="7" t="s">
        <v>229</v>
      </c>
      <c r="B8" s="7"/>
      <c r="C8" s="7" t="s">
        <v>225</v>
      </c>
      <c r="D8" s="7" t="s">
        <v>231</v>
      </c>
      <c r="E8" s="13"/>
      <c r="F8" s="13"/>
      <c r="G8" s="13"/>
    </row>
    <row r="9" customFormat="false" ht="15" hidden="false" customHeight="false" outlineLevel="0" collapsed="false">
      <c r="A9" s="7" t="s">
        <v>308</v>
      </c>
      <c r="B9" s="7"/>
      <c r="C9" s="7" t="s">
        <v>208</v>
      </c>
      <c r="D9" s="7" t="s">
        <v>311</v>
      </c>
      <c r="E9" s="13"/>
      <c r="F9" s="13"/>
      <c r="G9" s="13"/>
    </row>
    <row r="10" customFormat="false" ht="15" hidden="false" customHeight="false" outlineLevel="0" collapsed="false">
      <c r="A10" s="7" t="s">
        <v>313</v>
      </c>
      <c r="B10" s="7"/>
      <c r="C10" s="7" t="s">
        <v>208</v>
      </c>
      <c r="D10" s="7" t="s">
        <v>311</v>
      </c>
      <c r="E10" s="13"/>
      <c r="F10" s="13"/>
      <c r="G10" s="13"/>
    </row>
    <row r="11" customFormat="false" ht="15" hidden="false" customHeight="false" outlineLevel="0" collapsed="false">
      <c r="A11" s="7" t="s">
        <v>315</v>
      </c>
      <c r="B11" s="7"/>
      <c r="C11" s="7" t="s">
        <v>208</v>
      </c>
      <c r="D11" s="7" t="s">
        <v>311</v>
      </c>
      <c r="E11" s="13"/>
      <c r="F11" s="13"/>
      <c r="G11" s="13"/>
    </row>
    <row r="12" customFormat="false" ht="15" hidden="false" customHeight="false" outlineLevel="0" collapsed="false">
      <c r="A12" s="7" t="s">
        <v>317</v>
      </c>
      <c r="B12" s="7" t="s">
        <v>157</v>
      </c>
      <c r="C12" s="7" t="s">
        <v>208</v>
      </c>
      <c r="D12" s="7" t="s">
        <v>209</v>
      </c>
      <c r="E12" s="13"/>
      <c r="F12" s="13"/>
      <c r="G12" s="13"/>
    </row>
    <row r="13" customFormat="false" ht="15" hidden="false" customHeight="false" outlineLevel="0" collapsed="false">
      <c r="A13" s="7" t="s">
        <v>321</v>
      </c>
      <c r="B13" s="7"/>
      <c r="C13" s="7" t="s">
        <v>208</v>
      </c>
      <c r="D13" s="7" t="s">
        <v>311</v>
      </c>
      <c r="E13" s="13"/>
      <c r="F13" s="13"/>
      <c r="G13" s="13"/>
    </row>
    <row r="14" customFormat="false" ht="15" hidden="false" customHeight="false" outlineLevel="0" collapsed="false">
      <c r="A14" s="7" t="s">
        <v>323</v>
      </c>
      <c r="B14" s="7"/>
      <c r="C14" s="7" t="s">
        <v>208</v>
      </c>
      <c r="D14" s="7" t="s">
        <v>311</v>
      </c>
      <c r="E14" s="13"/>
      <c r="F14" s="13"/>
      <c r="G14" s="13"/>
    </row>
    <row r="15" customFormat="false" ht="15" hidden="false" customHeight="false" outlineLevel="0" collapsed="false">
      <c r="A15" s="7" t="s">
        <v>325</v>
      </c>
      <c r="B15" s="7"/>
      <c r="C15" s="7" t="s">
        <v>208</v>
      </c>
      <c r="D15" s="7" t="s">
        <v>311</v>
      </c>
      <c r="E15" s="13"/>
      <c r="F15" s="13"/>
      <c r="G15" s="13"/>
    </row>
    <row r="16" customFormat="false" ht="15" hidden="false" customHeight="false" outlineLevel="0" collapsed="false">
      <c r="A16" s="7" t="s">
        <v>327</v>
      </c>
      <c r="B16" s="7" t="s">
        <v>157</v>
      </c>
      <c r="C16" s="7" t="s">
        <v>208</v>
      </c>
      <c r="D16" s="7" t="s">
        <v>209</v>
      </c>
      <c r="E16" s="13"/>
      <c r="F16" s="13"/>
      <c r="G16" s="13"/>
    </row>
    <row r="17" customFormat="false" ht="15" hidden="false" customHeight="false" outlineLevel="0" collapsed="false">
      <c r="A17" s="7" t="s">
        <v>330</v>
      </c>
      <c r="B17" s="7"/>
      <c r="C17" s="7" t="s">
        <v>208</v>
      </c>
      <c r="D17" s="7" t="s">
        <v>311</v>
      </c>
      <c r="E17" s="13"/>
      <c r="F17" s="13"/>
      <c r="G17" s="13"/>
    </row>
    <row r="18" customFormat="false" ht="15" hidden="false" customHeight="false" outlineLevel="0" collapsed="false">
      <c r="A18" s="7" t="s">
        <v>332</v>
      </c>
      <c r="B18" s="7" t="s">
        <v>157</v>
      </c>
      <c r="C18" s="7" t="s">
        <v>208</v>
      </c>
      <c r="D18" s="7" t="s">
        <v>209</v>
      </c>
      <c r="E18" s="13"/>
      <c r="F18" s="13"/>
      <c r="G18" s="13"/>
    </row>
    <row r="19" customFormat="false" ht="15" hidden="false" customHeight="false" outlineLevel="0" collapsed="false">
      <c r="A19" s="7" t="s">
        <v>335</v>
      </c>
      <c r="B19" s="7" t="s">
        <v>157</v>
      </c>
      <c r="C19" s="7" t="s">
        <v>208</v>
      </c>
      <c r="D19" s="7" t="s">
        <v>209</v>
      </c>
      <c r="E19" s="13"/>
      <c r="F19" s="13"/>
      <c r="G19" s="13"/>
    </row>
    <row r="20" customFormat="false" ht="15" hidden="false" customHeight="false" outlineLevel="0" collapsed="false">
      <c r="A20" s="7" t="s">
        <v>338</v>
      </c>
      <c r="B20" s="7" t="s">
        <v>157</v>
      </c>
      <c r="C20" s="7" t="s">
        <v>208</v>
      </c>
      <c r="D20" s="7" t="s">
        <v>209</v>
      </c>
      <c r="E20" s="13"/>
      <c r="F20" s="13"/>
      <c r="G20" s="13"/>
    </row>
    <row r="21" customFormat="false" ht="15" hidden="false" customHeight="false" outlineLevel="0" collapsed="false">
      <c r="A21" s="7" t="s">
        <v>341</v>
      </c>
      <c r="B21" s="7" t="s">
        <v>157</v>
      </c>
      <c r="C21" s="7" t="s">
        <v>208</v>
      </c>
      <c r="D21" s="7" t="s">
        <v>209</v>
      </c>
      <c r="E21" s="13"/>
      <c r="F21" s="13"/>
      <c r="G21" s="13"/>
    </row>
    <row r="22" customFormat="false" ht="15" hidden="false" customHeight="false" outlineLevel="0" collapsed="false">
      <c r="A22" s="7" t="s">
        <v>344</v>
      </c>
      <c r="B22" s="7"/>
      <c r="C22" s="7" t="s">
        <v>208</v>
      </c>
      <c r="D22" s="7" t="s">
        <v>311</v>
      </c>
      <c r="E22" s="13"/>
      <c r="F22" s="13"/>
      <c r="G22" s="13"/>
    </row>
    <row r="23" customFormat="false" ht="15" hidden="false" customHeight="false" outlineLevel="0" collapsed="false">
      <c r="A23" s="7" t="s">
        <v>346</v>
      </c>
      <c r="B23" s="7"/>
      <c r="C23" s="7" t="s">
        <v>208</v>
      </c>
      <c r="D23" s="7" t="s">
        <v>311</v>
      </c>
      <c r="E23" s="13"/>
      <c r="F23" s="13"/>
      <c r="G23" s="13"/>
    </row>
    <row r="24" customFormat="false" ht="15" hidden="false" customHeight="false" outlineLevel="0" collapsed="false">
      <c r="A24" s="7" t="s">
        <v>348</v>
      </c>
      <c r="B24" s="7" t="s">
        <v>157</v>
      </c>
      <c r="C24" s="7" t="s">
        <v>208</v>
      </c>
      <c r="D24" s="7" t="s">
        <v>209</v>
      </c>
      <c r="E24" s="13"/>
      <c r="F24" s="13"/>
      <c r="G24" s="13"/>
    </row>
    <row r="25" customFormat="false" ht="15" hidden="false" customHeight="false" outlineLevel="0" collapsed="false">
      <c r="A25" s="7" t="s">
        <v>351</v>
      </c>
      <c r="B25" s="7"/>
      <c r="C25" s="7" t="s">
        <v>208</v>
      </c>
      <c r="D25" s="7" t="s">
        <v>311</v>
      </c>
      <c r="E25" s="13"/>
      <c r="F25" s="13"/>
      <c r="G25" s="13"/>
    </row>
    <row r="26" customFormat="false" ht="15" hidden="false" customHeight="false" outlineLevel="0" collapsed="false">
      <c r="A26" s="7" t="s">
        <v>353</v>
      </c>
      <c r="B26" s="7"/>
      <c r="C26" s="7" t="s">
        <v>208</v>
      </c>
      <c r="D26" s="7" t="s">
        <v>311</v>
      </c>
      <c r="E26" s="13"/>
      <c r="F26" s="13"/>
      <c r="G26" s="13"/>
    </row>
    <row r="27" customFormat="false" ht="15" hidden="false" customHeight="false" outlineLevel="0" collapsed="false">
      <c r="A27" s="7" t="s">
        <v>355</v>
      </c>
      <c r="B27" s="7"/>
      <c r="C27" s="7" t="s">
        <v>208</v>
      </c>
      <c r="D27" s="7" t="s">
        <v>311</v>
      </c>
      <c r="E27" s="13"/>
      <c r="F27" s="13"/>
      <c r="G27" s="13"/>
    </row>
    <row r="28" customFormat="false" ht="23.85" hidden="false" customHeight="false" outlineLevel="0" collapsed="false">
      <c r="A28" s="7" t="s">
        <v>385</v>
      </c>
      <c r="B28" s="7"/>
      <c r="C28" s="7" t="s">
        <v>225</v>
      </c>
      <c r="D28" s="7" t="s">
        <v>231</v>
      </c>
      <c r="E28" s="13"/>
      <c r="F28" s="13"/>
      <c r="G28" s="13"/>
    </row>
    <row r="29" customFormat="false" ht="23.85" hidden="false" customHeight="false" outlineLevel="0" collapsed="false">
      <c r="A29" s="7" t="s">
        <v>389</v>
      </c>
      <c r="B29" s="7"/>
      <c r="C29" s="7" t="s">
        <v>225</v>
      </c>
      <c r="D29" s="7" t="s">
        <v>231</v>
      </c>
      <c r="E29" s="13"/>
      <c r="F29" s="13"/>
      <c r="G29" s="13"/>
    </row>
    <row r="30" customFormat="false" ht="15" hidden="false" customHeight="false" outlineLevel="0" collapsed="false">
      <c r="A30" s="7" t="s">
        <v>407</v>
      </c>
      <c r="B30" s="7" t="s">
        <v>157</v>
      </c>
      <c r="C30" s="7" t="s">
        <v>410</v>
      </c>
      <c r="D30" s="7" t="s">
        <v>411</v>
      </c>
      <c r="E30" s="13"/>
      <c r="F30" s="13"/>
      <c r="G30" s="13"/>
    </row>
    <row r="31" customFormat="false" ht="15" hidden="false" customHeight="false" outlineLevel="0" collapsed="false">
      <c r="A31" s="7" t="s">
        <v>414</v>
      </c>
      <c r="B31" s="7" t="s">
        <v>157</v>
      </c>
      <c r="C31" s="7" t="s">
        <v>410</v>
      </c>
      <c r="D31" s="7" t="s">
        <v>411</v>
      </c>
      <c r="E31" s="13"/>
      <c r="F31" s="13"/>
      <c r="G31" s="13"/>
    </row>
    <row r="32" customFormat="false" ht="23.85" hidden="false" customHeight="false" outlineLevel="0" collapsed="false">
      <c r="A32" s="7" t="s">
        <v>417</v>
      </c>
      <c r="B32" s="7" t="s">
        <v>420</v>
      </c>
      <c r="C32" s="7"/>
      <c r="D32" s="7" t="s">
        <v>421</v>
      </c>
      <c r="E32" s="13"/>
      <c r="F32" s="13"/>
      <c r="G32" s="13"/>
    </row>
    <row r="33" customFormat="false" ht="15" hidden="false" customHeight="false" outlineLevel="0" collapsed="false">
      <c r="A33" s="7" t="s">
        <v>425</v>
      </c>
      <c r="B33" s="7" t="s">
        <v>157</v>
      </c>
      <c r="C33" s="7" t="s">
        <v>208</v>
      </c>
      <c r="D33" s="7" t="s">
        <v>209</v>
      </c>
      <c r="E33" s="13"/>
      <c r="F33" s="13"/>
      <c r="G33" s="13"/>
    </row>
    <row r="34" customFormat="false" ht="23.85" hidden="false" customHeight="false" outlineLevel="0" collapsed="false">
      <c r="A34" s="7" t="s">
        <v>428</v>
      </c>
      <c r="B34" s="7" t="s">
        <v>431</v>
      </c>
      <c r="C34" s="7"/>
      <c r="D34" s="7" t="s">
        <v>432</v>
      </c>
      <c r="E34" s="13"/>
      <c r="F34" s="13"/>
      <c r="G34" s="13"/>
    </row>
    <row r="35" customFormat="false" ht="15" hidden="false" customHeight="false" outlineLevel="0" collapsed="false">
      <c r="A35" s="7" t="s">
        <v>434</v>
      </c>
      <c r="B35" s="7" t="s">
        <v>157</v>
      </c>
      <c r="C35" s="7" t="s">
        <v>208</v>
      </c>
      <c r="D35" s="7" t="s">
        <v>209</v>
      </c>
      <c r="E35" s="13"/>
      <c r="F35" s="13"/>
      <c r="G35" s="13"/>
    </row>
    <row r="36" customFormat="false" ht="15" hidden="false" customHeight="false" outlineLevel="0" collapsed="false">
      <c r="A36" s="7" t="s">
        <v>437</v>
      </c>
      <c r="B36" s="7"/>
      <c r="C36" s="7" t="s">
        <v>208</v>
      </c>
      <c r="D36" s="7" t="s">
        <v>439</v>
      </c>
      <c r="E36" s="13"/>
      <c r="F36" s="13"/>
      <c r="G36" s="13"/>
    </row>
    <row r="37" customFormat="false" ht="23.85" hidden="false" customHeight="false" outlineLevel="0" collapsed="false">
      <c r="A37" s="7" t="s">
        <v>441</v>
      </c>
      <c r="B37" s="7" t="s">
        <v>443</v>
      </c>
      <c r="C37" s="7"/>
      <c r="D37" s="7" t="s">
        <v>444</v>
      </c>
      <c r="E37" s="13"/>
      <c r="F37" s="13"/>
      <c r="G37" s="13"/>
    </row>
    <row r="38" customFormat="false" ht="15" hidden="false" customHeight="false" outlineLevel="0" collapsed="false">
      <c r="A38" s="7" t="s">
        <v>445</v>
      </c>
      <c r="B38" s="7"/>
      <c r="C38" s="7" t="s">
        <v>208</v>
      </c>
      <c r="D38" s="7" t="s">
        <v>439</v>
      </c>
      <c r="E38" s="13"/>
      <c r="F38" s="13"/>
      <c r="G38" s="13"/>
    </row>
    <row r="39" customFormat="false" ht="23.85" hidden="false" customHeight="false" outlineLevel="0" collapsed="false">
      <c r="A39" s="7" t="s">
        <v>501</v>
      </c>
      <c r="B39" s="7" t="s">
        <v>114</v>
      </c>
      <c r="C39" s="7" t="s">
        <v>114</v>
      </c>
      <c r="D39" s="7" t="s">
        <v>502</v>
      </c>
      <c r="E39" s="13"/>
      <c r="F39" s="13"/>
      <c r="G39" s="13"/>
    </row>
    <row r="40" customFormat="false" ht="23.85" hidden="false" customHeight="false" outlineLevel="0" collapsed="false">
      <c r="A40" s="7" t="s">
        <v>503</v>
      </c>
      <c r="B40" s="7" t="s">
        <v>225</v>
      </c>
      <c r="C40" s="7" t="s">
        <v>225</v>
      </c>
      <c r="D40" s="7" t="s">
        <v>504</v>
      </c>
      <c r="E40" s="13"/>
      <c r="F40" s="13"/>
      <c r="G40" s="1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44"/>
    <col collapsed="false" customWidth="true" hidden="false" outlineLevel="0" max="3" min="3" style="0" width="11"/>
    <col collapsed="false" customWidth="true" hidden="false" outlineLevel="0" max="4" min="4" style="0" width="9"/>
    <col collapsed="false" customWidth="true" hidden="false" outlineLevel="0" max="6" min="5" style="0" width="12"/>
    <col collapsed="false" customWidth="true" hidden="false" outlineLevel="0" max="7" min="7" style="0" width="10"/>
    <col collapsed="false" customWidth="true" hidden="false" outlineLevel="0" max="8" min="8" style="0" width="8"/>
    <col collapsed="false" customWidth="true" hidden="false" outlineLevel="0" max="9" min="9" style="0" width="14"/>
    <col collapsed="false" customWidth="true" hidden="false" outlineLevel="0" max="11" min="10" style="0" width="18"/>
    <col collapsed="false" customWidth="true" hidden="false" outlineLevel="0" max="12" min="12" style="0" width="12"/>
  </cols>
  <sheetData>
    <row r="1" customFormat="false" ht="17.35" hidden="false" customHeight="false" outlineLevel="0" collapsed="false">
      <c r="A1" s="1" t="s">
        <v>505</v>
      </c>
      <c r="B1" s="2"/>
      <c r="C1" s="2"/>
      <c r="D1" s="2"/>
      <c r="E1" s="2"/>
      <c r="F1" s="2"/>
      <c r="G1" s="2"/>
      <c r="H1" s="2"/>
      <c r="I1" s="2"/>
      <c r="J1" s="2"/>
      <c r="K1" s="2"/>
      <c r="L1" s="2"/>
    </row>
    <row r="2" customFormat="false" ht="30" hidden="false" customHeight="true" outlineLevel="0" collapsed="false">
      <c r="A2" s="9" t="s">
        <v>506</v>
      </c>
      <c r="B2" s="9"/>
      <c r="C2" s="9"/>
      <c r="D2" s="9"/>
      <c r="E2" s="9"/>
      <c r="F2" s="9"/>
      <c r="G2" s="9"/>
      <c r="H2" s="9"/>
      <c r="I2" s="9"/>
      <c r="J2" s="9"/>
      <c r="K2" s="9"/>
      <c r="L2" s="9"/>
    </row>
    <row r="3" customFormat="false" ht="15" hidden="false" customHeight="false" outlineLevel="0" collapsed="false">
      <c r="A3" s="9"/>
      <c r="B3" s="9"/>
      <c r="C3" s="9"/>
      <c r="D3" s="9"/>
      <c r="E3" s="9"/>
      <c r="F3" s="9"/>
      <c r="G3" s="9"/>
      <c r="H3" s="9"/>
      <c r="I3" s="9"/>
      <c r="J3" s="9"/>
      <c r="K3" s="9"/>
      <c r="L3" s="9"/>
    </row>
    <row r="4" customFormat="false" ht="15" hidden="false" customHeight="false" outlineLevel="0" collapsed="false">
      <c r="A4" s="2"/>
      <c r="B4" s="2"/>
      <c r="C4" s="2"/>
      <c r="D4" s="2"/>
      <c r="E4" s="2"/>
      <c r="F4" s="2"/>
      <c r="G4" s="2"/>
      <c r="H4" s="2"/>
      <c r="I4" s="2"/>
      <c r="J4" s="2"/>
      <c r="K4" s="2"/>
      <c r="L4" s="2"/>
    </row>
    <row r="5" customFormat="false" ht="23.85" hidden="false" customHeight="false" outlineLevel="0" collapsed="false">
      <c r="A5" s="6" t="s">
        <v>75</v>
      </c>
      <c r="B5" s="6" t="s">
        <v>507</v>
      </c>
      <c r="C5" s="6" t="s">
        <v>78</v>
      </c>
      <c r="D5" s="6" t="s">
        <v>508</v>
      </c>
      <c r="E5" s="6" t="s">
        <v>509</v>
      </c>
      <c r="F5" s="6" t="s">
        <v>510</v>
      </c>
      <c r="G5" s="6" t="s">
        <v>94</v>
      </c>
      <c r="H5" s="6" t="s">
        <v>511</v>
      </c>
      <c r="I5" s="6" t="s">
        <v>512</v>
      </c>
      <c r="J5" s="6" t="s">
        <v>513</v>
      </c>
      <c r="K5" s="6" t="s">
        <v>514</v>
      </c>
      <c r="L5" s="6" t="s">
        <v>500</v>
      </c>
    </row>
    <row r="6" customFormat="false" ht="15" hidden="false" customHeight="false" outlineLevel="0" collapsed="false">
      <c r="A6" s="7" t="s">
        <v>110</v>
      </c>
      <c r="B6" s="7" t="s">
        <v>111</v>
      </c>
      <c r="C6" s="7" t="s">
        <v>112</v>
      </c>
      <c r="D6" s="7" t="s">
        <v>114</v>
      </c>
      <c r="E6" s="10" t="n">
        <v>240</v>
      </c>
      <c r="F6" s="10" t="n">
        <v>160</v>
      </c>
      <c r="G6" s="7" t="s">
        <v>119</v>
      </c>
      <c r="H6" s="7" t="s">
        <v>123</v>
      </c>
      <c r="I6" s="11"/>
      <c r="J6" s="13"/>
      <c r="K6" s="13"/>
      <c r="L6" s="13"/>
    </row>
    <row r="7" customFormat="false" ht="15" hidden="false" customHeight="false" outlineLevel="0" collapsed="false">
      <c r="A7" s="7" t="s">
        <v>137</v>
      </c>
      <c r="B7" s="7" t="s">
        <v>139</v>
      </c>
      <c r="C7" s="7" t="s">
        <v>112</v>
      </c>
      <c r="D7" s="7" t="s">
        <v>114</v>
      </c>
      <c r="E7" s="10" t="n">
        <v>450</v>
      </c>
      <c r="F7" s="10" t="n">
        <v>300</v>
      </c>
      <c r="G7" s="7" t="s">
        <v>119</v>
      </c>
      <c r="H7" s="7" t="s">
        <v>124</v>
      </c>
      <c r="I7" s="11"/>
      <c r="J7" s="13"/>
      <c r="K7" s="13"/>
      <c r="L7" s="13"/>
    </row>
    <row r="8" customFormat="false" ht="15" hidden="false" customHeight="false" outlineLevel="0" collapsed="false">
      <c r="A8" s="7" t="s">
        <v>142</v>
      </c>
      <c r="B8" s="7" t="s">
        <v>143</v>
      </c>
      <c r="C8" s="7" t="s">
        <v>112</v>
      </c>
      <c r="D8" s="7" t="s">
        <v>114</v>
      </c>
      <c r="E8" s="10" t="n">
        <v>180</v>
      </c>
      <c r="F8" s="10" t="n">
        <v>120</v>
      </c>
      <c r="G8" s="7" t="s">
        <v>119</v>
      </c>
      <c r="H8" s="7" t="s">
        <v>123</v>
      </c>
      <c r="I8" s="11"/>
      <c r="J8" s="13"/>
      <c r="K8" s="13"/>
      <c r="L8" s="13"/>
    </row>
    <row r="9" customFormat="false" ht="15" hidden="false" customHeight="false" outlineLevel="0" collapsed="false">
      <c r="A9" s="7" t="s">
        <v>144</v>
      </c>
      <c r="B9" s="7" t="s">
        <v>146</v>
      </c>
      <c r="C9" s="7" t="s">
        <v>112</v>
      </c>
      <c r="D9" s="7" t="s">
        <v>114</v>
      </c>
      <c r="E9" s="10" t="n">
        <v>150</v>
      </c>
      <c r="F9" s="10" t="n">
        <v>100</v>
      </c>
      <c r="G9" s="7" t="s">
        <v>119</v>
      </c>
      <c r="H9" s="7" t="s">
        <v>124</v>
      </c>
      <c r="I9" s="11"/>
      <c r="J9" s="13"/>
      <c r="K9" s="13"/>
      <c r="L9" s="13"/>
    </row>
    <row r="10" customFormat="false" ht="23.85" hidden="false" customHeight="false" outlineLevel="0" collapsed="false">
      <c r="A10" s="7" t="s">
        <v>147</v>
      </c>
      <c r="B10" s="7" t="s">
        <v>148</v>
      </c>
      <c r="C10" s="7" t="s">
        <v>149</v>
      </c>
      <c r="D10" s="7" t="s">
        <v>150</v>
      </c>
      <c r="E10" s="10" t="n">
        <v>550</v>
      </c>
      <c r="F10" s="10" t="n">
        <v>360</v>
      </c>
      <c r="G10" s="7" t="s">
        <v>152</v>
      </c>
      <c r="H10" s="7" t="s">
        <v>123</v>
      </c>
      <c r="I10" s="11"/>
      <c r="J10" s="13"/>
      <c r="K10" s="13"/>
      <c r="L10" s="13"/>
    </row>
    <row r="11" customFormat="false" ht="23.85" hidden="false" customHeight="false" outlineLevel="0" collapsed="false">
      <c r="A11" s="7" t="s">
        <v>155</v>
      </c>
      <c r="B11" s="7" t="s">
        <v>156</v>
      </c>
      <c r="C11" s="7" t="s">
        <v>149</v>
      </c>
      <c r="D11" s="7" t="s">
        <v>157</v>
      </c>
      <c r="E11" s="10" t="n">
        <v>2800</v>
      </c>
      <c r="F11" s="10" t="n">
        <v>1800</v>
      </c>
      <c r="G11" s="7" t="s">
        <v>152</v>
      </c>
      <c r="H11" s="7" t="s">
        <v>123</v>
      </c>
      <c r="I11" s="11"/>
      <c r="J11" s="13"/>
      <c r="K11" s="13"/>
      <c r="L11" s="13"/>
    </row>
    <row r="12" customFormat="false" ht="23.85" hidden="false" customHeight="false" outlineLevel="0" collapsed="false">
      <c r="A12" s="7" t="s">
        <v>158</v>
      </c>
      <c r="B12" s="7" t="s">
        <v>160</v>
      </c>
      <c r="C12" s="7" t="s">
        <v>149</v>
      </c>
      <c r="D12" s="7" t="s">
        <v>157</v>
      </c>
      <c r="E12" s="10" t="n">
        <v>1100</v>
      </c>
      <c r="F12" s="10" t="n">
        <v>750</v>
      </c>
      <c r="G12" s="7" t="s">
        <v>152</v>
      </c>
      <c r="H12" s="7" t="s">
        <v>124</v>
      </c>
      <c r="I12" s="11"/>
      <c r="J12" s="13"/>
      <c r="K12" s="13"/>
      <c r="L12" s="13"/>
    </row>
    <row r="13" customFormat="false" ht="23.85" hidden="false" customHeight="false" outlineLevel="0" collapsed="false">
      <c r="A13" s="7" t="s">
        <v>163</v>
      </c>
      <c r="B13" s="7" t="s">
        <v>165</v>
      </c>
      <c r="C13" s="7" t="s">
        <v>149</v>
      </c>
      <c r="D13" s="7" t="s">
        <v>150</v>
      </c>
      <c r="E13" s="10" t="n">
        <v>280</v>
      </c>
      <c r="F13" s="10" t="n">
        <v>170</v>
      </c>
      <c r="G13" s="7" t="s">
        <v>152</v>
      </c>
      <c r="H13" s="7" t="s">
        <v>124</v>
      </c>
      <c r="I13" s="11"/>
      <c r="J13" s="13"/>
      <c r="K13" s="13"/>
      <c r="L13" s="13"/>
    </row>
    <row r="14" customFormat="false" ht="23.85" hidden="false" customHeight="false" outlineLevel="0" collapsed="false">
      <c r="A14" s="7" t="s">
        <v>168</v>
      </c>
      <c r="B14" s="7" t="s">
        <v>169</v>
      </c>
      <c r="C14" s="7" t="s">
        <v>149</v>
      </c>
      <c r="D14" s="7" t="s">
        <v>157</v>
      </c>
      <c r="E14" s="10" t="n">
        <v>320</v>
      </c>
      <c r="F14" s="10" t="n">
        <v>190</v>
      </c>
      <c r="G14" s="7" t="s">
        <v>152</v>
      </c>
      <c r="H14" s="7" t="s">
        <v>123</v>
      </c>
      <c r="I14" s="11"/>
      <c r="J14" s="13"/>
      <c r="K14" s="13"/>
      <c r="L14" s="13"/>
    </row>
    <row r="15" customFormat="false" ht="23.85" hidden="false" customHeight="false" outlineLevel="0" collapsed="false">
      <c r="A15" s="7" t="s">
        <v>170</v>
      </c>
      <c r="B15" s="7" t="s">
        <v>172</v>
      </c>
      <c r="C15" s="7" t="s">
        <v>149</v>
      </c>
      <c r="D15" s="7" t="s">
        <v>150</v>
      </c>
      <c r="E15" s="10" t="n">
        <v>450</v>
      </c>
      <c r="F15" s="10" t="n">
        <v>280</v>
      </c>
      <c r="G15" s="7" t="s">
        <v>152</v>
      </c>
      <c r="H15" s="7" t="s">
        <v>124</v>
      </c>
      <c r="I15" s="11"/>
      <c r="J15" s="13"/>
      <c r="K15" s="13"/>
      <c r="L15" s="13"/>
    </row>
    <row r="16" customFormat="false" ht="23.85" hidden="false" customHeight="false" outlineLevel="0" collapsed="false">
      <c r="A16" s="7" t="s">
        <v>173</v>
      </c>
      <c r="B16" s="7" t="s">
        <v>174</v>
      </c>
      <c r="C16" s="7" t="s">
        <v>149</v>
      </c>
      <c r="D16" s="7" t="s">
        <v>150</v>
      </c>
      <c r="E16" s="10" t="n">
        <v>350</v>
      </c>
      <c r="F16" s="10" t="n">
        <v>220</v>
      </c>
      <c r="G16" s="7" t="s">
        <v>152</v>
      </c>
      <c r="H16" s="7" t="s">
        <v>123</v>
      </c>
      <c r="I16" s="11"/>
      <c r="J16" s="13"/>
      <c r="K16" s="13"/>
      <c r="L16" s="13"/>
    </row>
    <row r="17" customFormat="false" ht="23.85" hidden="false" customHeight="false" outlineLevel="0" collapsed="false">
      <c r="A17" s="7" t="s">
        <v>175</v>
      </c>
      <c r="B17" s="7" t="s">
        <v>176</v>
      </c>
      <c r="C17" s="7" t="s">
        <v>149</v>
      </c>
      <c r="D17" s="7" t="s">
        <v>157</v>
      </c>
      <c r="E17" s="10" t="n">
        <v>4500</v>
      </c>
      <c r="F17" s="10" t="n">
        <v>3100</v>
      </c>
      <c r="G17" s="7" t="s">
        <v>152</v>
      </c>
      <c r="H17" s="7" t="s">
        <v>123</v>
      </c>
      <c r="I17" s="11"/>
      <c r="J17" s="13"/>
      <c r="K17" s="13"/>
      <c r="L17" s="13"/>
    </row>
    <row r="18" customFormat="false" ht="23.85" hidden="false" customHeight="false" outlineLevel="0" collapsed="false">
      <c r="A18" s="7" t="s">
        <v>177</v>
      </c>
      <c r="B18" s="7" t="s">
        <v>178</v>
      </c>
      <c r="C18" s="7" t="s">
        <v>149</v>
      </c>
      <c r="D18" s="7" t="s">
        <v>150</v>
      </c>
      <c r="E18" s="10" t="n">
        <v>650</v>
      </c>
      <c r="F18" s="10" t="n">
        <v>400</v>
      </c>
      <c r="G18" s="7" t="s">
        <v>152</v>
      </c>
      <c r="H18" s="7" t="s">
        <v>123</v>
      </c>
      <c r="I18" s="11"/>
      <c r="J18" s="13"/>
      <c r="K18" s="13"/>
      <c r="L18" s="13"/>
    </row>
    <row r="19" customFormat="false" ht="23.85" hidden="false" customHeight="false" outlineLevel="0" collapsed="false">
      <c r="A19" s="7" t="s">
        <v>179</v>
      </c>
      <c r="B19" s="7" t="s">
        <v>180</v>
      </c>
      <c r="C19" s="7" t="s">
        <v>149</v>
      </c>
      <c r="D19" s="7" t="s">
        <v>157</v>
      </c>
      <c r="E19" s="10" t="n">
        <v>140</v>
      </c>
      <c r="F19" s="10" t="n">
        <v>75</v>
      </c>
      <c r="G19" s="7" t="s">
        <v>152</v>
      </c>
      <c r="H19" s="7" t="s">
        <v>123</v>
      </c>
      <c r="I19" s="11"/>
      <c r="J19" s="13"/>
      <c r="K19" s="13"/>
      <c r="L19" s="13"/>
    </row>
    <row r="20" customFormat="false" ht="23.85" hidden="false" customHeight="false" outlineLevel="0" collapsed="false">
      <c r="A20" s="7" t="s">
        <v>181</v>
      </c>
      <c r="B20" s="7" t="s">
        <v>183</v>
      </c>
      <c r="C20" s="7" t="s">
        <v>149</v>
      </c>
      <c r="D20" s="7" t="s">
        <v>157</v>
      </c>
      <c r="E20" s="10" t="n">
        <v>380</v>
      </c>
      <c r="F20" s="10" t="n">
        <v>240</v>
      </c>
      <c r="G20" s="7" t="s">
        <v>152</v>
      </c>
      <c r="H20" s="7" t="s">
        <v>124</v>
      </c>
      <c r="I20" s="11"/>
      <c r="J20" s="13"/>
      <c r="K20" s="13"/>
      <c r="L20" s="13"/>
    </row>
    <row r="21" customFormat="false" ht="23.85" hidden="false" customHeight="false" outlineLevel="0" collapsed="false">
      <c r="A21" s="7" t="s">
        <v>184</v>
      </c>
      <c r="B21" s="7" t="s">
        <v>186</v>
      </c>
      <c r="C21" s="7" t="s">
        <v>149</v>
      </c>
      <c r="D21" s="7" t="s">
        <v>157</v>
      </c>
      <c r="E21" s="10" t="n">
        <v>160</v>
      </c>
      <c r="F21" s="10" t="n">
        <v>95</v>
      </c>
      <c r="G21" s="7" t="s">
        <v>152</v>
      </c>
      <c r="H21" s="7" t="s">
        <v>124</v>
      </c>
      <c r="I21" s="11"/>
      <c r="J21" s="13"/>
      <c r="K21" s="13"/>
      <c r="L21" s="13"/>
    </row>
    <row r="22" customFormat="false" ht="23.85" hidden="false" customHeight="false" outlineLevel="0" collapsed="false">
      <c r="A22" s="7" t="s">
        <v>187</v>
      </c>
      <c r="B22" s="7" t="s">
        <v>188</v>
      </c>
      <c r="C22" s="7" t="s">
        <v>149</v>
      </c>
      <c r="D22" s="7" t="s">
        <v>157</v>
      </c>
      <c r="E22" s="10" t="n">
        <v>150</v>
      </c>
      <c r="F22" s="10" t="n">
        <v>85</v>
      </c>
      <c r="G22" s="7" t="s">
        <v>152</v>
      </c>
      <c r="H22" s="7" t="s">
        <v>123</v>
      </c>
      <c r="I22" s="11"/>
      <c r="J22" s="13"/>
      <c r="K22" s="13"/>
      <c r="L22" s="13"/>
    </row>
    <row r="23" customFormat="false" ht="23.85" hidden="false" customHeight="false" outlineLevel="0" collapsed="false">
      <c r="A23" s="7" t="s">
        <v>189</v>
      </c>
      <c r="B23" s="7" t="s">
        <v>190</v>
      </c>
      <c r="C23" s="7" t="s">
        <v>149</v>
      </c>
      <c r="D23" s="7" t="s">
        <v>157</v>
      </c>
      <c r="E23" s="10" t="n">
        <v>240</v>
      </c>
      <c r="F23" s="10" t="n">
        <v>140</v>
      </c>
      <c r="G23" s="7" t="s">
        <v>152</v>
      </c>
      <c r="H23" s="7" t="s">
        <v>123</v>
      </c>
      <c r="I23" s="11"/>
      <c r="J23" s="13"/>
      <c r="K23" s="13"/>
      <c r="L23" s="13"/>
    </row>
    <row r="24" customFormat="false" ht="23.85" hidden="false" customHeight="false" outlineLevel="0" collapsed="false">
      <c r="A24" s="7" t="s">
        <v>191</v>
      </c>
      <c r="B24" s="7" t="s">
        <v>192</v>
      </c>
      <c r="C24" s="7" t="s">
        <v>149</v>
      </c>
      <c r="D24" s="7" t="s">
        <v>157</v>
      </c>
      <c r="E24" s="10" t="n">
        <v>220</v>
      </c>
      <c r="F24" s="10" t="n">
        <v>130</v>
      </c>
      <c r="G24" s="7" t="s">
        <v>152</v>
      </c>
      <c r="H24" s="7" t="s">
        <v>123</v>
      </c>
      <c r="I24" s="11"/>
      <c r="J24" s="13"/>
      <c r="K24" s="13"/>
      <c r="L24" s="13"/>
    </row>
    <row r="25" customFormat="false" ht="23.85" hidden="false" customHeight="false" outlineLevel="0" collapsed="false">
      <c r="A25" s="7" t="s">
        <v>193</v>
      </c>
      <c r="B25" s="7" t="s">
        <v>194</v>
      </c>
      <c r="C25" s="7" t="s">
        <v>149</v>
      </c>
      <c r="D25" s="7" t="s">
        <v>150</v>
      </c>
      <c r="E25" s="10" t="n">
        <v>220</v>
      </c>
      <c r="F25" s="10" t="n">
        <v>130</v>
      </c>
      <c r="G25" s="7" t="s">
        <v>152</v>
      </c>
      <c r="H25" s="7" t="s">
        <v>123</v>
      </c>
      <c r="I25" s="11"/>
      <c r="J25" s="13"/>
      <c r="K25" s="13"/>
      <c r="L25" s="13"/>
    </row>
    <row r="26" customFormat="false" ht="23.85" hidden="false" customHeight="false" outlineLevel="0" collapsed="false">
      <c r="A26" s="7" t="s">
        <v>195</v>
      </c>
      <c r="B26" s="7" t="s">
        <v>196</v>
      </c>
      <c r="C26" s="7" t="s">
        <v>149</v>
      </c>
      <c r="D26" s="7" t="s">
        <v>157</v>
      </c>
      <c r="E26" s="10" t="n">
        <v>1950</v>
      </c>
      <c r="F26" s="10" t="n">
        <v>1300</v>
      </c>
      <c r="G26" s="7" t="s">
        <v>152</v>
      </c>
      <c r="H26" s="7" t="s">
        <v>123</v>
      </c>
      <c r="I26" s="11"/>
      <c r="J26" s="13"/>
      <c r="K26" s="13"/>
      <c r="L26" s="13"/>
    </row>
    <row r="27" customFormat="false" ht="23.85" hidden="false" customHeight="false" outlineLevel="0" collapsed="false">
      <c r="A27" s="7" t="s">
        <v>197</v>
      </c>
      <c r="B27" s="7" t="s">
        <v>198</v>
      </c>
      <c r="C27" s="7" t="s">
        <v>149</v>
      </c>
      <c r="D27" s="7" t="s">
        <v>150</v>
      </c>
      <c r="E27" s="10" t="n">
        <v>420</v>
      </c>
      <c r="F27" s="10" t="n">
        <v>260</v>
      </c>
      <c r="G27" s="7" t="s">
        <v>152</v>
      </c>
      <c r="H27" s="7" t="s">
        <v>123</v>
      </c>
      <c r="I27" s="11"/>
      <c r="J27" s="13"/>
      <c r="K27" s="13"/>
      <c r="L27" s="13"/>
    </row>
    <row r="28" customFormat="false" ht="23.85" hidden="false" customHeight="false" outlineLevel="0" collapsed="false">
      <c r="A28" s="7" t="s">
        <v>199</v>
      </c>
      <c r="B28" s="7" t="s">
        <v>200</v>
      </c>
      <c r="C28" s="7" t="s">
        <v>149</v>
      </c>
      <c r="D28" s="7" t="s">
        <v>157</v>
      </c>
      <c r="E28" s="10" t="n">
        <v>180</v>
      </c>
      <c r="F28" s="10" t="n">
        <v>95</v>
      </c>
      <c r="G28" s="7" t="s">
        <v>152</v>
      </c>
      <c r="H28" s="7" t="s">
        <v>123</v>
      </c>
      <c r="I28" s="11"/>
      <c r="J28" s="13"/>
      <c r="K28" s="13"/>
      <c r="L28" s="13"/>
    </row>
    <row r="29" customFormat="false" ht="23.85" hidden="false" customHeight="false" outlineLevel="0" collapsed="false">
      <c r="A29" s="7" t="s">
        <v>201</v>
      </c>
      <c r="B29" s="7" t="s">
        <v>202</v>
      </c>
      <c r="C29" s="7" t="s">
        <v>149</v>
      </c>
      <c r="D29" s="7" t="s">
        <v>157</v>
      </c>
      <c r="E29" s="10" t="n">
        <v>1800</v>
      </c>
      <c r="F29" s="10" t="n">
        <v>1200</v>
      </c>
      <c r="G29" s="7" t="s">
        <v>152</v>
      </c>
      <c r="H29" s="7" t="s">
        <v>123</v>
      </c>
      <c r="I29" s="11"/>
      <c r="J29" s="13"/>
      <c r="K29" s="13"/>
      <c r="L29" s="13"/>
    </row>
    <row r="30" customFormat="false" ht="15" hidden="false" customHeight="false" outlineLevel="0" collapsed="false">
      <c r="A30" s="7" t="s">
        <v>203</v>
      </c>
      <c r="B30" s="7" t="s">
        <v>205</v>
      </c>
      <c r="C30" s="7" t="s">
        <v>206</v>
      </c>
      <c r="D30" s="7" t="s">
        <v>208</v>
      </c>
      <c r="E30" s="10" t="n">
        <v>900</v>
      </c>
      <c r="F30" s="10" t="n">
        <v>500</v>
      </c>
      <c r="G30" s="7" t="s">
        <v>212</v>
      </c>
      <c r="H30" s="7" t="s">
        <v>124</v>
      </c>
      <c r="I30" s="11"/>
      <c r="J30" s="13"/>
      <c r="K30" s="13"/>
      <c r="L30" s="13"/>
    </row>
    <row r="31" customFormat="false" ht="15" hidden="false" customHeight="false" outlineLevel="0" collapsed="false">
      <c r="A31" s="7" t="s">
        <v>216</v>
      </c>
      <c r="B31" s="7" t="s">
        <v>217</v>
      </c>
      <c r="C31" s="7" t="s">
        <v>206</v>
      </c>
      <c r="D31" s="7" t="s">
        <v>208</v>
      </c>
      <c r="E31" s="10" t="n">
        <v>650</v>
      </c>
      <c r="F31" s="10" t="n">
        <v>350</v>
      </c>
      <c r="G31" s="7" t="s">
        <v>212</v>
      </c>
      <c r="H31" s="7" t="s">
        <v>123</v>
      </c>
      <c r="I31" s="11"/>
      <c r="J31" s="13"/>
      <c r="K31" s="13"/>
      <c r="L31" s="13"/>
    </row>
    <row r="32" customFormat="false" ht="15" hidden="false" customHeight="false" outlineLevel="0" collapsed="false">
      <c r="A32" s="7" t="s">
        <v>221</v>
      </c>
      <c r="B32" s="7" t="s">
        <v>223</v>
      </c>
      <c r="C32" s="7" t="s">
        <v>224</v>
      </c>
      <c r="D32" s="7" t="s">
        <v>225</v>
      </c>
      <c r="E32" s="10" t="n">
        <v>1200</v>
      </c>
      <c r="F32" s="10" t="n">
        <v>900</v>
      </c>
      <c r="G32" s="7" t="s">
        <v>212</v>
      </c>
      <c r="H32" s="7" t="s">
        <v>124</v>
      </c>
      <c r="I32" s="11"/>
      <c r="J32" s="13"/>
      <c r="K32" s="13"/>
      <c r="L32" s="13"/>
    </row>
    <row r="33" customFormat="false" ht="15" hidden="false" customHeight="false" outlineLevel="0" collapsed="false">
      <c r="A33" s="7" t="s">
        <v>229</v>
      </c>
      <c r="B33" s="7" t="s">
        <v>230</v>
      </c>
      <c r="C33" s="7" t="s">
        <v>224</v>
      </c>
      <c r="D33" s="7" t="s">
        <v>225</v>
      </c>
      <c r="E33" s="10" t="n">
        <v>2200</v>
      </c>
      <c r="F33" s="10" t="n">
        <v>1650</v>
      </c>
      <c r="G33" s="7" t="s">
        <v>212</v>
      </c>
      <c r="H33" s="7" t="s">
        <v>123</v>
      </c>
      <c r="I33" s="11"/>
      <c r="J33" s="13"/>
      <c r="K33" s="13"/>
      <c r="L33" s="13"/>
    </row>
    <row r="34" customFormat="false" ht="15" hidden="false" customHeight="false" outlineLevel="0" collapsed="false">
      <c r="A34" s="7" t="s">
        <v>236</v>
      </c>
      <c r="B34" s="7" t="s">
        <v>238</v>
      </c>
      <c r="C34" s="7" t="s">
        <v>239</v>
      </c>
      <c r="D34" s="7" t="s">
        <v>114</v>
      </c>
      <c r="E34" s="10" t="n">
        <v>80</v>
      </c>
      <c r="F34" s="10" t="n">
        <v>50</v>
      </c>
      <c r="G34" s="7" t="s">
        <v>119</v>
      </c>
      <c r="H34" s="7" t="s">
        <v>124</v>
      </c>
      <c r="I34" s="11"/>
      <c r="J34" s="13"/>
      <c r="K34" s="13"/>
      <c r="L34" s="13"/>
    </row>
    <row r="35" customFormat="false" ht="15" hidden="false" customHeight="false" outlineLevel="0" collapsed="false">
      <c r="A35" s="7" t="s">
        <v>241</v>
      </c>
      <c r="B35" s="7" t="s">
        <v>242</v>
      </c>
      <c r="C35" s="7" t="s">
        <v>239</v>
      </c>
      <c r="D35" s="7" t="s">
        <v>114</v>
      </c>
      <c r="E35" s="10" t="n">
        <v>320</v>
      </c>
      <c r="F35" s="10" t="n">
        <v>210</v>
      </c>
      <c r="G35" s="7" t="s">
        <v>152</v>
      </c>
      <c r="H35" s="7" t="s">
        <v>123</v>
      </c>
      <c r="I35" s="11"/>
      <c r="J35" s="13"/>
      <c r="K35" s="13"/>
      <c r="L35" s="13"/>
    </row>
    <row r="36" customFormat="false" ht="15" hidden="false" customHeight="false" outlineLevel="0" collapsed="false">
      <c r="A36" s="7" t="s">
        <v>245</v>
      </c>
      <c r="B36" s="7" t="s">
        <v>247</v>
      </c>
      <c r="C36" s="7" t="s">
        <v>239</v>
      </c>
      <c r="D36" s="7" t="s">
        <v>114</v>
      </c>
      <c r="E36" s="10" t="n">
        <v>50</v>
      </c>
      <c r="F36" s="10" t="n">
        <v>30</v>
      </c>
      <c r="G36" s="7" t="s">
        <v>152</v>
      </c>
      <c r="H36" s="7" t="s">
        <v>124</v>
      </c>
      <c r="I36" s="11"/>
      <c r="J36" s="13"/>
      <c r="K36" s="13"/>
      <c r="L36" s="13"/>
    </row>
    <row r="37" customFormat="false" ht="15" hidden="false" customHeight="false" outlineLevel="0" collapsed="false">
      <c r="A37" s="7" t="s">
        <v>248</v>
      </c>
      <c r="B37" s="7" t="s">
        <v>249</v>
      </c>
      <c r="C37" s="7" t="s">
        <v>239</v>
      </c>
      <c r="D37" s="7" t="s">
        <v>157</v>
      </c>
      <c r="E37" s="10" t="n">
        <v>950</v>
      </c>
      <c r="F37" s="10" t="n">
        <v>620</v>
      </c>
      <c r="G37" s="7" t="s">
        <v>152</v>
      </c>
      <c r="H37" s="7" t="s">
        <v>123</v>
      </c>
      <c r="I37" s="11"/>
      <c r="J37" s="13"/>
      <c r="K37" s="13"/>
      <c r="L37" s="13"/>
    </row>
    <row r="38" customFormat="false" ht="15" hidden="false" customHeight="false" outlineLevel="0" collapsed="false">
      <c r="A38" s="7" t="s">
        <v>250</v>
      </c>
      <c r="B38" s="7" t="s">
        <v>252</v>
      </c>
      <c r="C38" s="7" t="s">
        <v>239</v>
      </c>
      <c r="D38" s="7" t="s">
        <v>114</v>
      </c>
      <c r="E38" s="10" t="n">
        <v>1200</v>
      </c>
      <c r="F38" s="10" t="n">
        <v>800</v>
      </c>
      <c r="G38" s="7" t="s">
        <v>152</v>
      </c>
      <c r="H38" s="7" t="s">
        <v>124</v>
      </c>
      <c r="I38" s="11"/>
      <c r="J38" s="13"/>
      <c r="K38" s="13"/>
      <c r="L38" s="13"/>
    </row>
    <row r="39" customFormat="false" ht="23.85" hidden="false" customHeight="false" outlineLevel="0" collapsed="false">
      <c r="A39" s="7" t="s">
        <v>253</v>
      </c>
      <c r="B39" s="7" t="s">
        <v>255</v>
      </c>
      <c r="C39" s="7" t="s">
        <v>239</v>
      </c>
      <c r="D39" s="7" t="s">
        <v>114</v>
      </c>
      <c r="E39" s="10" t="n">
        <v>300</v>
      </c>
      <c r="F39" s="10" t="n">
        <v>190</v>
      </c>
      <c r="G39" s="7" t="s">
        <v>152</v>
      </c>
      <c r="H39" s="7" t="s">
        <v>124</v>
      </c>
      <c r="I39" s="11"/>
      <c r="J39" s="13"/>
      <c r="K39" s="13"/>
      <c r="L39" s="13"/>
    </row>
    <row r="40" customFormat="false" ht="15" hidden="false" customHeight="false" outlineLevel="0" collapsed="false">
      <c r="A40" s="7" t="s">
        <v>256</v>
      </c>
      <c r="B40" s="7" t="s">
        <v>257</v>
      </c>
      <c r="C40" s="7" t="s">
        <v>239</v>
      </c>
      <c r="D40" s="7" t="s">
        <v>114</v>
      </c>
      <c r="E40" s="10" t="n">
        <v>60</v>
      </c>
      <c r="F40" s="10" t="n">
        <v>35</v>
      </c>
      <c r="G40" s="7" t="s">
        <v>152</v>
      </c>
      <c r="H40" s="7" t="s">
        <v>123</v>
      </c>
      <c r="I40" s="11"/>
      <c r="J40" s="13"/>
      <c r="K40" s="13"/>
      <c r="L40" s="13"/>
    </row>
    <row r="41" customFormat="false" ht="15" hidden="false" customHeight="false" outlineLevel="0" collapsed="false">
      <c r="A41" s="7" t="s">
        <v>261</v>
      </c>
      <c r="B41" s="7" t="s">
        <v>262</v>
      </c>
      <c r="C41" s="7" t="s">
        <v>239</v>
      </c>
      <c r="D41" s="7" t="s">
        <v>114</v>
      </c>
      <c r="E41" s="10" t="n">
        <v>380</v>
      </c>
      <c r="F41" s="10" t="n">
        <v>250</v>
      </c>
      <c r="G41" s="7" t="s">
        <v>152</v>
      </c>
      <c r="H41" s="7" t="s">
        <v>123</v>
      </c>
      <c r="I41" s="11"/>
      <c r="J41" s="13"/>
      <c r="K41" s="13"/>
      <c r="L41" s="13"/>
    </row>
    <row r="42" customFormat="false" ht="15" hidden="false" customHeight="false" outlineLevel="0" collapsed="false">
      <c r="A42" s="7" t="s">
        <v>263</v>
      </c>
      <c r="B42" s="7" t="s">
        <v>264</v>
      </c>
      <c r="C42" s="7" t="s">
        <v>239</v>
      </c>
      <c r="D42" s="7" t="s">
        <v>114</v>
      </c>
      <c r="E42" s="10" t="n">
        <v>200</v>
      </c>
      <c r="F42" s="10" t="n">
        <v>130</v>
      </c>
      <c r="G42" s="7" t="s">
        <v>152</v>
      </c>
      <c r="H42" s="7" t="s">
        <v>123</v>
      </c>
      <c r="I42" s="11"/>
      <c r="J42" s="13"/>
      <c r="K42" s="13"/>
      <c r="L42" s="13"/>
    </row>
    <row r="43" customFormat="false" ht="15" hidden="false" customHeight="false" outlineLevel="0" collapsed="false">
      <c r="A43" s="7" t="s">
        <v>268</v>
      </c>
      <c r="B43" s="7" t="s">
        <v>269</v>
      </c>
      <c r="C43" s="7" t="s">
        <v>239</v>
      </c>
      <c r="D43" s="7" t="s">
        <v>114</v>
      </c>
      <c r="E43" s="10" t="n">
        <v>80</v>
      </c>
      <c r="F43" s="10" t="n">
        <v>50</v>
      </c>
      <c r="G43" s="7" t="s">
        <v>152</v>
      </c>
      <c r="H43" s="7" t="s">
        <v>123</v>
      </c>
      <c r="I43" s="11"/>
      <c r="J43" s="13"/>
      <c r="K43" s="13"/>
      <c r="L43" s="13"/>
    </row>
    <row r="44" customFormat="false" ht="15" hidden="false" customHeight="false" outlineLevel="0" collapsed="false">
      <c r="A44" s="7" t="s">
        <v>270</v>
      </c>
      <c r="B44" s="7" t="s">
        <v>271</v>
      </c>
      <c r="C44" s="7" t="s">
        <v>239</v>
      </c>
      <c r="D44" s="7" t="s">
        <v>114</v>
      </c>
      <c r="E44" s="10" t="n">
        <v>120</v>
      </c>
      <c r="F44" s="10" t="n">
        <v>75</v>
      </c>
      <c r="G44" s="7" t="s">
        <v>152</v>
      </c>
      <c r="H44" s="7" t="s">
        <v>123</v>
      </c>
      <c r="I44" s="11"/>
      <c r="J44" s="13"/>
      <c r="K44" s="13"/>
      <c r="L44" s="13"/>
    </row>
    <row r="45" customFormat="false" ht="15" hidden="false" customHeight="false" outlineLevel="0" collapsed="false">
      <c r="A45" s="7" t="s">
        <v>272</v>
      </c>
      <c r="B45" s="7" t="s">
        <v>273</v>
      </c>
      <c r="C45" s="7" t="s">
        <v>239</v>
      </c>
      <c r="D45" s="7" t="s">
        <v>157</v>
      </c>
      <c r="E45" s="10" t="n">
        <v>750</v>
      </c>
      <c r="F45" s="10" t="n">
        <v>500</v>
      </c>
      <c r="G45" s="7" t="s">
        <v>152</v>
      </c>
      <c r="H45" s="7" t="s">
        <v>123</v>
      </c>
      <c r="I45" s="11"/>
      <c r="J45" s="13"/>
      <c r="K45" s="13"/>
      <c r="L45" s="13"/>
    </row>
    <row r="46" customFormat="false" ht="15" hidden="false" customHeight="false" outlineLevel="0" collapsed="false">
      <c r="A46" s="7" t="s">
        <v>274</v>
      </c>
      <c r="B46" s="7" t="s">
        <v>275</v>
      </c>
      <c r="C46" s="7" t="s">
        <v>239</v>
      </c>
      <c r="D46" s="7" t="s">
        <v>114</v>
      </c>
      <c r="E46" s="10" t="n">
        <v>400</v>
      </c>
      <c r="F46" s="10" t="n">
        <v>260</v>
      </c>
      <c r="G46" s="7" t="s">
        <v>119</v>
      </c>
      <c r="H46" s="7" t="s">
        <v>123</v>
      </c>
      <c r="I46" s="11"/>
      <c r="J46" s="13"/>
      <c r="K46" s="13"/>
      <c r="L46" s="13"/>
    </row>
    <row r="47" customFormat="false" ht="15" hidden="false" customHeight="false" outlineLevel="0" collapsed="false">
      <c r="A47" s="7" t="s">
        <v>276</v>
      </c>
      <c r="B47" s="7" t="s">
        <v>278</v>
      </c>
      <c r="C47" s="7" t="s">
        <v>239</v>
      </c>
      <c r="D47" s="7" t="s">
        <v>114</v>
      </c>
      <c r="E47" s="10" t="n">
        <v>40</v>
      </c>
      <c r="F47" s="10" t="n">
        <v>25</v>
      </c>
      <c r="G47" s="7" t="s">
        <v>152</v>
      </c>
      <c r="H47" s="7" t="s">
        <v>124</v>
      </c>
      <c r="I47" s="11"/>
      <c r="J47" s="13"/>
      <c r="K47" s="13"/>
      <c r="L47" s="13"/>
    </row>
    <row r="48" customFormat="false" ht="15" hidden="false" customHeight="false" outlineLevel="0" collapsed="false">
      <c r="A48" s="7" t="s">
        <v>279</v>
      </c>
      <c r="B48" s="7" t="s">
        <v>281</v>
      </c>
      <c r="C48" s="7" t="s">
        <v>239</v>
      </c>
      <c r="D48" s="7" t="s">
        <v>114</v>
      </c>
      <c r="E48" s="10" t="n">
        <v>120</v>
      </c>
      <c r="F48" s="10" t="n">
        <v>75</v>
      </c>
      <c r="G48" s="7" t="s">
        <v>152</v>
      </c>
      <c r="H48" s="7" t="s">
        <v>124</v>
      </c>
      <c r="I48" s="11"/>
      <c r="J48" s="13"/>
      <c r="K48" s="13"/>
      <c r="L48" s="13"/>
    </row>
    <row r="49" customFormat="false" ht="15" hidden="false" customHeight="false" outlineLevel="0" collapsed="false">
      <c r="A49" s="7" t="s">
        <v>282</v>
      </c>
      <c r="B49" s="7" t="s">
        <v>283</v>
      </c>
      <c r="C49" s="7" t="s">
        <v>239</v>
      </c>
      <c r="D49" s="7" t="s">
        <v>114</v>
      </c>
      <c r="E49" s="10" t="n">
        <v>250</v>
      </c>
      <c r="F49" s="10" t="n">
        <v>160</v>
      </c>
      <c r="G49" s="7" t="s">
        <v>152</v>
      </c>
      <c r="H49" s="7" t="s">
        <v>123</v>
      </c>
      <c r="I49" s="11"/>
      <c r="J49" s="13"/>
      <c r="K49" s="13"/>
      <c r="L49" s="13"/>
    </row>
    <row r="50" customFormat="false" ht="15" hidden="false" customHeight="false" outlineLevel="0" collapsed="false">
      <c r="A50" s="7" t="s">
        <v>284</v>
      </c>
      <c r="B50" s="7" t="s">
        <v>285</v>
      </c>
      <c r="C50" s="7" t="s">
        <v>239</v>
      </c>
      <c r="D50" s="7" t="s">
        <v>157</v>
      </c>
      <c r="E50" s="10" t="n">
        <v>250</v>
      </c>
      <c r="F50" s="10" t="n">
        <v>160</v>
      </c>
      <c r="G50" s="7" t="s">
        <v>152</v>
      </c>
      <c r="H50" s="7" t="s">
        <v>124</v>
      </c>
      <c r="I50" s="11"/>
      <c r="J50" s="13"/>
      <c r="K50" s="13"/>
      <c r="L50" s="13"/>
    </row>
    <row r="51" customFormat="false" ht="15" hidden="false" customHeight="false" outlineLevel="0" collapsed="false">
      <c r="A51" s="7" t="s">
        <v>286</v>
      </c>
      <c r="B51" s="7" t="s">
        <v>287</v>
      </c>
      <c r="C51" s="7" t="s">
        <v>239</v>
      </c>
      <c r="D51" s="7" t="s">
        <v>114</v>
      </c>
      <c r="E51" s="10" t="n">
        <v>280</v>
      </c>
      <c r="F51" s="10" t="n">
        <v>180</v>
      </c>
      <c r="G51" s="7" t="s">
        <v>152</v>
      </c>
      <c r="H51" s="7" t="s">
        <v>123</v>
      </c>
      <c r="I51" s="11"/>
      <c r="J51" s="13"/>
      <c r="K51" s="13"/>
      <c r="L51" s="13"/>
    </row>
    <row r="52" customFormat="false" ht="15" hidden="false" customHeight="false" outlineLevel="0" collapsed="false">
      <c r="A52" s="7" t="s">
        <v>288</v>
      </c>
      <c r="B52" s="7" t="s">
        <v>289</v>
      </c>
      <c r="C52" s="7" t="s">
        <v>239</v>
      </c>
      <c r="D52" s="7" t="s">
        <v>157</v>
      </c>
      <c r="E52" s="10" t="n">
        <v>650</v>
      </c>
      <c r="F52" s="10" t="n">
        <v>420</v>
      </c>
      <c r="G52" s="7" t="s">
        <v>152</v>
      </c>
      <c r="H52" s="7" t="s">
        <v>123</v>
      </c>
      <c r="I52" s="11"/>
      <c r="J52" s="13"/>
      <c r="K52" s="13"/>
      <c r="L52" s="13"/>
    </row>
    <row r="53" customFormat="false" ht="15" hidden="false" customHeight="false" outlineLevel="0" collapsed="false">
      <c r="A53" s="7" t="s">
        <v>290</v>
      </c>
      <c r="B53" s="7" t="s">
        <v>291</v>
      </c>
      <c r="C53" s="7" t="s">
        <v>239</v>
      </c>
      <c r="D53" s="7" t="s">
        <v>157</v>
      </c>
      <c r="E53" s="10" t="n">
        <v>1400</v>
      </c>
      <c r="F53" s="10" t="n">
        <v>900</v>
      </c>
      <c r="G53" s="7" t="s">
        <v>152</v>
      </c>
      <c r="H53" s="7" t="s">
        <v>123</v>
      </c>
      <c r="I53" s="11"/>
      <c r="J53" s="13"/>
      <c r="K53" s="13"/>
      <c r="L53" s="13"/>
    </row>
    <row r="54" customFormat="false" ht="15" hidden="false" customHeight="false" outlineLevel="0" collapsed="false">
      <c r="A54" s="7" t="s">
        <v>292</v>
      </c>
      <c r="B54" s="7" t="s">
        <v>293</v>
      </c>
      <c r="C54" s="7" t="s">
        <v>239</v>
      </c>
      <c r="D54" s="7" t="s">
        <v>114</v>
      </c>
      <c r="E54" s="10" t="n">
        <v>90</v>
      </c>
      <c r="F54" s="10" t="n">
        <v>55</v>
      </c>
      <c r="G54" s="7" t="s">
        <v>152</v>
      </c>
      <c r="H54" s="7" t="s">
        <v>123</v>
      </c>
      <c r="I54" s="11"/>
      <c r="J54" s="13"/>
      <c r="K54" s="13"/>
      <c r="L54" s="13"/>
    </row>
    <row r="55" customFormat="false" ht="15" hidden="false" customHeight="false" outlineLevel="0" collapsed="false">
      <c r="A55" s="7" t="s">
        <v>294</v>
      </c>
      <c r="B55" s="7" t="s">
        <v>295</v>
      </c>
      <c r="C55" s="7" t="s">
        <v>239</v>
      </c>
      <c r="D55" s="7" t="s">
        <v>114</v>
      </c>
      <c r="E55" s="10" t="n">
        <v>70</v>
      </c>
      <c r="F55" s="10" t="n">
        <v>40</v>
      </c>
      <c r="G55" s="7" t="s">
        <v>152</v>
      </c>
      <c r="H55" s="7" t="s">
        <v>123</v>
      </c>
      <c r="I55" s="11"/>
      <c r="J55" s="13"/>
      <c r="K55" s="13"/>
      <c r="L55" s="13"/>
    </row>
    <row r="56" customFormat="false" ht="15" hidden="false" customHeight="false" outlineLevel="0" collapsed="false">
      <c r="A56" s="7" t="s">
        <v>300</v>
      </c>
      <c r="B56" s="7" t="s">
        <v>302</v>
      </c>
      <c r="C56" s="7" t="s">
        <v>303</v>
      </c>
      <c r="D56" s="7" t="s">
        <v>304</v>
      </c>
      <c r="E56" s="10" t="n">
        <v>15000</v>
      </c>
      <c r="F56" s="10" t="n">
        <v>10500</v>
      </c>
      <c r="G56" s="7" t="s">
        <v>119</v>
      </c>
      <c r="H56" s="7" t="s">
        <v>124</v>
      </c>
      <c r="I56" s="11"/>
      <c r="J56" s="13"/>
      <c r="K56" s="13"/>
      <c r="L56" s="13"/>
    </row>
    <row r="57" customFormat="false" ht="15" hidden="false" customHeight="false" outlineLevel="0" collapsed="false">
      <c r="A57" s="7" t="s">
        <v>244</v>
      </c>
      <c r="B57" s="7" t="s">
        <v>307</v>
      </c>
      <c r="C57" s="7" t="s">
        <v>303</v>
      </c>
      <c r="D57" s="7" t="s">
        <v>114</v>
      </c>
      <c r="E57" s="10" t="n">
        <v>3500</v>
      </c>
      <c r="F57" s="10" t="n">
        <v>2300</v>
      </c>
      <c r="G57" s="7" t="s">
        <v>152</v>
      </c>
      <c r="H57" s="7" t="s">
        <v>124</v>
      </c>
      <c r="I57" s="11"/>
      <c r="J57" s="13"/>
      <c r="K57" s="13"/>
      <c r="L57" s="13"/>
    </row>
    <row r="58" customFormat="false" ht="15" hidden="false" customHeight="false" outlineLevel="0" collapsed="false">
      <c r="A58" s="7" t="s">
        <v>308</v>
      </c>
      <c r="B58" s="7" t="s">
        <v>309</v>
      </c>
      <c r="C58" s="7" t="s">
        <v>310</v>
      </c>
      <c r="D58" s="7" t="s">
        <v>208</v>
      </c>
      <c r="E58" s="10" t="n">
        <v>1100</v>
      </c>
      <c r="F58" s="10" t="n">
        <v>650</v>
      </c>
      <c r="G58" s="7" t="s">
        <v>212</v>
      </c>
      <c r="H58" s="7" t="s">
        <v>123</v>
      </c>
      <c r="I58" s="11"/>
      <c r="J58" s="13"/>
      <c r="K58" s="13"/>
      <c r="L58" s="13"/>
    </row>
    <row r="59" customFormat="false" ht="15" hidden="false" customHeight="false" outlineLevel="0" collapsed="false">
      <c r="A59" s="7" t="s">
        <v>313</v>
      </c>
      <c r="B59" s="7" t="s">
        <v>314</v>
      </c>
      <c r="C59" s="7" t="s">
        <v>310</v>
      </c>
      <c r="D59" s="7" t="s">
        <v>208</v>
      </c>
      <c r="E59" s="10" t="n">
        <v>950</v>
      </c>
      <c r="F59" s="10" t="n">
        <v>520</v>
      </c>
      <c r="G59" s="7" t="s">
        <v>212</v>
      </c>
      <c r="H59" s="7" t="s">
        <v>123</v>
      </c>
      <c r="I59" s="11"/>
      <c r="J59" s="13"/>
      <c r="K59" s="13"/>
      <c r="L59" s="13"/>
    </row>
    <row r="60" customFormat="false" ht="15" hidden="false" customHeight="false" outlineLevel="0" collapsed="false">
      <c r="A60" s="7" t="s">
        <v>315</v>
      </c>
      <c r="B60" s="7" t="s">
        <v>316</v>
      </c>
      <c r="C60" s="7" t="s">
        <v>310</v>
      </c>
      <c r="D60" s="7" t="s">
        <v>208</v>
      </c>
      <c r="E60" s="10" t="n">
        <v>1400</v>
      </c>
      <c r="F60" s="10" t="n">
        <v>850</v>
      </c>
      <c r="G60" s="7" t="s">
        <v>212</v>
      </c>
      <c r="H60" s="7" t="s">
        <v>123</v>
      </c>
      <c r="I60" s="11"/>
      <c r="J60" s="13"/>
      <c r="K60" s="13"/>
      <c r="L60" s="13"/>
    </row>
    <row r="61" customFormat="false" ht="15" hidden="false" customHeight="false" outlineLevel="0" collapsed="false">
      <c r="A61" s="7" t="s">
        <v>317</v>
      </c>
      <c r="B61" s="7" t="s">
        <v>319</v>
      </c>
      <c r="C61" s="7" t="s">
        <v>310</v>
      </c>
      <c r="D61" s="7" t="s">
        <v>208</v>
      </c>
      <c r="E61" s="10" t="n">
        <v>450</v>
      </c>
      <c r="F61" s="10" t="n">
        <v>250</v>
      </c>
      <c r="G61" s="7" t="s">
        <v>212</v>
      </c>
      <c r="H61" s="7" t="s">
        <v>124</v>
      </c>
      <c r="I61" s="11"/>
      <c r="J61" s="13"/>
      <c r="K61" s="13"/>
      <c r="L61" s="13"/>
    </row>
    <row r="62" customFormat="false" ht="15" hidden="false" customHeight="false" outlineLevel="0" collapsed="false">
      <c r="A62" s="7" t="s">
        <v>321</v>
      </c>
      <c r="B62" s="7" t="s">
        <v>322</v>
      </c>
      <c r="C62" s="7" t="s">
        <v>310</v>
      </c>
      <c r="D62" s="7" t="s">
        <v>208</v>
      </c>
      <c r="E62" s="10" t="n">
        <v>550</v>
      </c>
      <c r="F62" s="10" t="n">
        <v>300</v>
      </c>
      <c r="G62" s="7" t="s">
        <v>212</v>
      </c>
      <c r="H62" s="7" t="s">
        <v>123</v>
      </c>
      <c r="I62" s="11"/>
      <c r="J62" s="13"/>
      <c r="K62" s="13"/>
      <c r="L62" s="13"/>
    </row>
    <row r="63" customFormat="false" ht="15" hidden="false" customHeight="false" outlineLevel="0" collapsed="false">
      <c r="A63" s="7" t="s">
        <v>323</v>
      </c>
      <c r="B63" s="7" t="s">
        <v>324</v>
      </c>
      <c r="C63" s="7" t="s">
        <v>310</v>
      </c>
      <c r="D63" s="7" t="s">
        <v>208</v>
      </c>
      <c r="E63" s="10" t="n">
        <v>1200</v>
      </c>
      <c r="F63" s="10" t="n">
        <v>700</v>
      </c>
      <c r="G63" s="7" t="s">
        <v>212</v>
      </c>
      <c r="H63" s="7" t="s">
        <v>123</v>
      </c>
      <c r="I63" s="11"/>
      <c r="J63" s="13"/>
      <c r="K63" s="13"/>
      <c r="L63" s="13"/>
    </row>
    <row r="64" customFormat="false" ht="15" hidden="false" customHeight="false" outlineLevel="0" collapsed="false">
      <c r="A64" s="7" t="s">
        <v>325</v>
      </c>
      <c r="B64" s="7" t="s">
        <v>326</v>
      </c>
      <c r="C64" s="7" t="s">
        <v>310</v>
      </c>
      <c r="D64" s="7" t="s">
        <v>208</v>
      </c>
      <c r="E64" s="10" t="n">
        <v>600</v>
      </c>
      <c r="F64" s="10" t="n">
        <v>320</v>
      </c>
      <c r="G64" s="7" t="s">
        <v>212</v>
      </c>
      <c r="H64" s="7" t="s">
        <v>123</v>
      </c>
      <c r="I64" s="11"/>
      <c r="J64" s="13"/>
      <c r="K64" s="13"/>
      <c r="L64" s="13"/>
    </row>
    <row r="65" customFormat="false" ht="15" hidden="false" customHeight="false" outlineLevel="0" collapsed="false">
      <c r="A65" s="7" t="s">
        <v>327</v>
      </c>
      <c r="B65" s="7" t="s">
        <v>329</v>
      </c>
      <c r="C65" s="7" t="s">
        <v>310</v>
      </c>
      <c r="D65" s="7" t="s">
        <v>208</v>
      </c>
      <c r="E65" s="10" t="n">
        <v>600</v>
      </c>
      <c r="F65" s="10" t="n">
        <v>350</v>
      </c>
      <c r="G65" s="7" t="s">
        <v>212</v>
      </c>
      <c r="H65" s="7" t="s">
        <v>124</v>
      </c>
      <c r="I65" s="11"/>
      <c r="J65" s="13"/>
      <c r="K65" s="13"/>
      <c r="L65" s="13"/>
    </row>
    <row r="66" customFormat="false" ht="15" hidden="false" customHeight="false" outlineLevel="0" collapsed="false">
      <c r="A66" s="7" t="s">
        <v>330</v>
      </c>
      <c r="B66" s="7" t="s">
        <v>331</v>
      </c>
      <c r="C66" s="7" t="s">
        <v>310</v>
      </c>
      <c r="D66" s="7" t="s">
        <v>208</v>
      </c>
      <c r="E66" s="10" t="n">
        <v>3500</v>
      </c>
      <c r="F66" s="10" t="n">
        <v>2100</v>
      </c>
      <c r="G66" s="7" t="s">
        <v>212</v>
      </c>
      <c r="H66" s="7" t="s">
        <v>123</v>
      </c>
      <c r="I66" s="11"/>
      <c r="J66" s="13"/>
      <c r="K66" s="13"/>
      <c r="L66" s="13"/>
    </row>
    <row r="67" customFormat="false" ht="15" hidden="false" customHeight="false" outlineLevel="0" collapsed="false">
      <c r="A67" s="7" t="s">
        <v>332</v>
      </c>
      <c r="B67" s="7" t="s">
        <v>334</v>
      </c>
      <c r="C67" s="7" t="s">
        <v>310</v>
      </c>
      <c r="D67" s="7" t="s">
        <v>208</v>
      </c>
      <c r="E67" s="10" t="n">
        <v>800</v>
      </c>
      <c r="F67" s="10" t="n">
        <v>450</v>
      </c>
      <c r="G67" s="7" t="s">
        <v>212</v>
      </c>
      <c r="H67" s="7" t="s">
        <v>124</v>
      </c>
      <c r="I67" s="11"/>
      <c r="J67" s="13"/>
      <c r="K67" s="13"/>
      <c r="L67" s="13"/>
    </row>
    <row r="68" customFormat="false" ht="15" hidden="false" customHeight="false" outlineLevel="0" collapsed="false">
      <c r="A68" s="7" t="s">
        <v>335</v>
      </c>
      <c r="B68" s="7" t="s">
        <v>337</v>
      </c>
      <c r="C68" s="7" t="s">
        <v>310</v>
      </c>
      <c r="D68" s="7" t="s">
        <v>208</v>
      </c>
      <c r="E68" s="10" t="n">
        <v>750</v>
      </c>
      <c r="F68" s="10" t="n">
        <v>420</v>
      </c>
      <c r="G68" s="7" t="s">
        <v>212</v>
      </c>
      <c r="H68" s="7" t="s">
        <v>124</v>
      </c>
      <c r="I68" s="11"/>
      <c r="J68" s="13"/>
      <c r="K68" s="13"/>
      <c r="L68" s="13"/>
    </row>
    <row r="69" customFormat="false" ht="15" hidden="false" customHeight="false" outlineLevel="0" collapsed="false">
      <c r="A69" s="7" t="s">
        <v>338</v>
      </c>
      <c r="B69" s="7" t="s">
        <v>340</v>
      </c>
      <c r="C69" s="7" t="s">
        <v>310</v>
      </c>
      <c r="D69" s="7" t="s">
        <v>208</v>
      </c>
      <c r="E69" s="10" t="n">
        <v>700</v>
      </c>
      <c r="F69" s="10" t="n">
        <v>380</v>
      </c>
      <c r="G69" s="7" t="s">
        <v>212</v>
      </c>
      <c r="H69" s="7" t="s">
        <v>124</v>
      </c>
      <c r="I69" s="11"/>
      <c r="J69" s="13"/>
      <c r="K69" s="13"/>
      <c r="L69" s="13"/>
    </row>
    <row r="70" customFormat="false" ht="15" hidden="false" customHeight="false" outlineLevel="0" collapsed="false">
      <c r="A70" s="7" t="s">
        <v>341</v>
      </c>
      <c r="B70" s="7" t="s">
        <v>343</v>
      </c>
      <c r="C70" s="7" t="s">
        <v>310</v>
      </c>
      <c r="D70" s="7" t="s">
        <v>208</v>
      </c>
      <c r="E70" s="10" t="n">
        <v>2800</v>
      </c>
      <c r="F70" s="10" t="n">
        <v>1600</v>
      </c>
      <c r="G70" s="7" t="s">
        <v>212</v>
      </c>
      <c r="H70" s="7" t="s">
        <v>124</v>
      </c>
      <c r="I70" s="11"/>
      <c r="J70" s="13"/>
      <c r="K70" s="13"/>
      <c r="L70" s="13"/>
    </row>
    <row r="71" customFormat="false" ht="15" hidden="false" customHeight="false" outlineLevel="0" collapsed="false">
      <c r="A71" s="7" t="s">
        <v>344</v>
      </c>
      <c r="B71" s="7" t="s">
        <v>345</v>
      </c>
      <c r="C71" s="7" t="s">
        <v>310</v>
      </c>
      <c r="D71" s="7" t="s">
        <v>208</v>
      </c>
      <c r="E71" s="10" t="n">
        <v>2500</v>
      </c>
      <c r="F71" s="10" t="n">
        <v>1600</v>
      </c>
      <c r="G71" s="7" t="s">
        <v>212</v>
      </c>
      <c r="H71" s="7" t="s">
        <v>123</v>
      </c>
      <c r="I71" s="11"/>
      <c r="J71" s="13"/>
      <c r="K71" s="13"/>
      <c r="L71" s="13"/>
    </row>
    <row r="72" customFormat="false" ht="15" hidden="false" customHeight="false" outlineLevel="0" collapsed="false">
      <c r="A72" s="7" t="s">
        <v>346</v>
      </c>
      <c r="B72" s="7" t="s">
        <v>347</v>
      </c>
      <c r="C72" s="7" t="s">
        <v>310</v>
      </c>
      <c r="D72" s="7" t="s">
        <v>208</v>
      </c>
      <c r="E72" s="10" t="n">
        <v>450</v>
      </c>
      <c r="F72" s="10" t="n">
        <v>250</v>
      </c>
      <c r="G72" s="7" t="s">
        <v>212</v>
      </c>
      <c r="H72" s="7" t="s">
        <v>123</v>
      </c>
      <c r="I72" s="11"/>
      <c r="J72" s="13"/>
      <c r="K72" s="13"/>
      <c r="L72" s="13"/>
    </row>
    <row r="73" customFormat="false" ht="15" hidden="false" customHeight="false" outlineLevel="0" collapsed="false">
      <c r="A73" s="7" t="s">
        <v>348</v>
      </c>
      <c r="B73" s="7" t="s">
        <v>350</v>
      </c>
      <c r="C73" s="7" t="s">
        <v>310</v>
      </c>
      <c r="D73" s="7" t="s">
        <v>208</v>
      </c>
      <c r="E73" s="10" t="n">
        <v>650</v>
      </c>
      <c r="F73" s="10" t="n">
        <v>350</v>
      </c>
      <c r="G73" s="7" t="s">
        <v>212</v>
      </c>
      <c r="H73" s="7" t="s">
        <v>124</v>
      </c>
      <c r="I73" s="11"/>
      <c r="J73" s="13"/>
      <c r="K73" s="13"/>
      <c r="L73" s="13"/>
    </row>
    <row r="74" customFormat="false" ht="15" hidden="false" customHeight="false" outlineLevel="0" collapsed="false">
      <c r="A74" s="7" t="s">
        <v>351</v>
      </c>
      <c r="B74" s="7" t="s">
        <v>352</v>
      </c>
      <c r="C74" s="7" t="s">
        <v>310</v>
      </c>
      <c r="D74" s="7" t="s">
        <v>208</v>
      </c>
      <c r="E74" s="10" t="n">
        <v>300</v>
      </c>
      <c r="F74" s="10" t="n">
        <v>150</v>
      </c>
      <c r="G74" s="7" t="s">
        <v>212</v>
      </c>
      <c r="H74" s="7" t="s">
        <v>123</v>
      </c>
      <c r="I74" s="11"/>
      <c r="J74" s="13"/>
      <c r="K74" s="13"/>
      <c r="L74" s="13"/>
    </row>
    <row r="75" customFormat="false" ht="15" hidden="false" customHeight="false" outlineLevel="0" collapsed="false">
      <c r="A75" s="7" t="s">
        <v>353</v>
      </c>
      <c r="B75" s="7" t="s">
        <v>354</v>
      </c>
      <c r="C75" s="7" t="s">
        <v>310</v>
      </c>
      <c r="D75" s="7" t="s">
        <v>208</v>
      </c>
      <c r="E75" s="10" t="n">
        <v>900</v>
      </c>
      <c r="F75" s="10" t="n">
        <v>500</v>
      </c>
      <c r="G75" s="7" t="s">
        <v>212</v>
      </c>
      <c r="H75" s="7" t="s">
        <v>123</v>
      </c>
      <c r="I75" s="11"/>
      <c r="J75" s="13"/>
      <c r="K75" s="13"/>
      <c r="L75" s="13"/>
    </row>
    <row r="76" customFormat="false" ht="15" hidden="false" customHeight="false" outlineLevel="0" collapsed="false">
      <c r="A76" s="7" t="s">
        <v>355</v>
      </c>
      <c r="B76" s="7" t="s">
        <v>356</v>
      </c>
      <c r="C76" s="7" t="s">
        <v>310</v>
      </c>
      <c r="D76" s="7" t="s">
        <v>208</v>
      </c>
      <c r="E76" s="10" t="n">
        <v>1200</v>
      </c>
      <c r="F76" s="10" t="n">
        <v>650</v>
      </c>
      <c r="G76" s="7" t="s">
        <v>212</v>
      </c>
      <c r="H76" s="7" t="s">
        <v>123</v>
      </c>
      <c r="I76" s="11"/>
      <c r="J76" s="13"/>
      <c r="K76" s="13"/>
      <c r="L76" s="13"/>
    </row>
    <row r="77" customFormat="false" ht="15" hidden="false" customHeight="false" outlineLevel="0" collapsed="false">
      <c r="A77" s="7" t="s">
        <v>357</v>
      </c>
      <c r="B77" s="7" t="s">
        <v>358</v>
      </c>
      <c r="C77" s="7" t="s">
        <v>359</v>
      </c>
      <c r="D77" s="7" t="s">
        <v>360</v>
      </c>
      <c r="E77" s="10" t="n">
        <v>1200</v>
      </c>
      <c r="F77" s="10" t="n">
        <v>800</v>
      </c>
      <c r="G77" s="7" t="s">
        <v>212</v>
      </c>
      <c r="H77" s="7" t="s">
        <v>123</v>
      </c>
      <c r="I77" s="11"/>
      <c r="J77" s="13"/>
      <c r="K77" s="13"/>
      <c r="L77" s="13"/>
    </row>
    <row r="78" customFormat="false" ht="15" hidden="false" customHeight="false" outlineLevel="0" collapsed="false">
      <c r="A78" s="7" t="s">
        <v>362</v>
      </c>
      <c r="B78" s="7" t="s">
        <v>363</v>
      </c>
      <c r="C78" s="7" t="s">
        <v>359</v>
      </c>
      <c r="D78" s="7" t="s">
        <v>360</v>
      </c>
      <c r="E78" s="10" t="n">
        <v>900</v>
      </c>
      <c r="F78" s="10" t="n">
        <v>600</v>
      </c>
      <c r="G78" s="7" t="s">
        <v>212</v>
      </c>
      <c r="H78" s="7" t="s">
        <v>123</v>
      </c>
      <c r="I78" s="11"/>
      <c r="J78" s="13"/>
      <c r="K78" s="13"/>
      <c r="L78" s="13"/>
    </row>
    <row r="79" customFormat="false" ht="15" hidden="false" customHeight="false" outlineLevel="0" collapsed="false">
      <c r="A79" s="7" t="s">
        <v>364</v>
      </c>
      <c r="B79" s="7" t="s">
        <v>365</v>
      </c>
      <c r="C79" s="7" t="s">
        <v>359</v>
      </c>
      <c r="D79" s="7" t="s">
        <v>360</v>
      </c>
      <c r="E79" s="10" t="n">
        <v>850</v>
      </c>
      <c r="F79" s="10" t="n">
        <v>550</v>
      </c>
      <c r="G79" s="7" t="s">
        <v>212</v>
      </c>
      <c r="H79" s="7" t="s">
        <v>123</v>
      </c>
      <c r="I79" s="11"/>
      <c r="J79" s="13"/>
      <c r="K79" s="13"/>
      <c r="L79" s="13"/>
    </row>
    <row r="80" customFormat="false" ht="15" hidden="false" customHeight="false" outlineLevel="0" collapsed="false">
      <c r="A80" s="7" t="s">
        <v>370</v>
      </c>
      <c r="B80" s="7" t="s">
        <v>371</v>
      </c>
      <c r="C80" s="7" t="s">
        <v>359</v>
      </c>
      <c r="D80" s="7" t="s">
        <v>360</v>
      </c>
      <c r="E80" s="10" t="n">
        <v>750</v>
      </c>
      <c r="F80" s="10" t="n">
        <v>500</v>
      </c>
      <c r="G80" s="7" t="s">
        <v>212</v>
      </c>
      <c r="H80" s="7" t="s">
        <v>123</v>
      </c>
      <c r="I80" s="11"/>
      <c r="J80" s="13"/>
      <c r="K80" s="13"/>
      <c r="L80" s="13"/>
    </row>
    <row r="81" customFormat="false" ht="15" hidden="false" customHeight="false" outlineLevel="0" collapsed="false">
      <c r="A81" s="7" t="s">
        <v>372</v>
      </c>
      <c r="B81" s="7" t="s">
        <v>373</v>
      </c>
      <c r="C81" s="7" t="s">
        <v>359</v>
      </c>
      <c r="D81" s="7" t="s">
        <v>360</v>
      </c>
      <c r="E81" s="10" t="n">
        <v>1400</v>
      </c>
      <c r="F81" s="10" t="n">
        <v>950</v>
      </c>
      <c r="G81" s="7" t="s">
        <v>212</v>
      </c>
      <c r="H81" s="7" t="s">
        <v>123</v>
      </c>
      <c r="I81" s="11"/>
      <c r="J81" s="13"/>
      <c r="K81" s="13"/>
      <c r="L81" s="13"/>
    </row>
    <row r="82" customFormat="false" ht="15" hidden="false" customHeight="false" outlineLevel="0" collapsed="false">
      <c r="A82" s="7" t="s">
        <v>374</v>
      </c>
      <c r="B82" s="7" t="s">
        <v>375</v>
      </c>
      <c r="C82" s="7" t="s">
        <v>359</v>
      </c>
      <c r="D82" s="7" t="s">
        <v>360</v>
      </c>
      <c r="E82" s="10" t="n">
        <v>950</v>
      </c>
      <c r="F82" s="10" t="n">
        <v>650</v>
      </c>
      <c r="G82" s="7" t="s">
        <v>212</v>
      </c>
      <c r="H82" s="7" t="s">
        <v>123</v>
      </c>
      <c r="I82" s="11"/>
      <c r="J82" s="13"/>
      <c r="K82" s="13"/>
      <c r="L82" s="13"/>
    </row>
    <row r="83" customFormat="false" ht="15" hidden="false" customHeight="false" outlineLevel="0" collapsed="false">
      <c r="A83" s="7" t="s">
        <v>376</v>
      </c>
      <c r="B83" s="7" t="s">
        <v>377</v>
      </c>
      <c r="C83" s="7" t="s">
        <v>359</v>
      </c>
      <c r="D83" s="7" t="s">
        <v>360</v>
      </c>
      <c r="E83" s="10" t="n">
        <v>1000</v>
      </c>
      <c r="F83" s="10" t="n">
        <v>680</v>
      </c>
      <c r="G83" s="7" t="s">
        <v>212</v>
      </c>
      <c r="H83" s="7" t="s">
        <v>123</v>
      </c>
      <c r="I83" s="11"/>
      <c r="J83" s="13"/>
      <c r="K83" s="13"/>
      <c r="L83" s="13"/>
    </row>
    <row r="84" customFormat="false" ht="15" hidden="false" customHeight="false" outlineLevel="0" collapsed="false">
      <c r="A84" s="7" t="s">
        <v>378</v>
      </c>
      <c r="B84" s="7" t="s">
        <v>379</v>
      </c>
      <c r="C84" s="7" t="s">
        <v>359</v>
      </c>
      <c r="D84" s="7" t="s">
        <v>360</v>
      </c>
      <c r="E84" s="10" t="n">
        <v>1100</v>
      </c>
      <c r="F84" s="10" t="n">
        <v>750</v>
      </c>
      <c r="G84" s="7" t="s">
        <v>212</v>
      </c>
      <c r="H84" s="7" t="s">
        <v>123</v>
      </c>
      <c r="I84" s="11"/>
      <c r="J84" s="13"/>
      <c r="K84" s="13"/>
      <c r="L84" s="13"/>
    </row>
    <row r="85" customFormat="false" ht="15" hidden="false" customHeight="false" outlineLevel="0" collapsed="false">
      <c r="A85" s="7" t="s">
        <v>380</v>
      </c>
      <c r="B85" s="7" t="s">
        <v>381</v>
      </c>
      <c r="C85" s="7" t="s">
        <v>359</v>
      </c>
      <c r="D85" s="7" t="s">
        <v>360</v>
      </c>
      <c r="E85" s="10" t="n">
        <v>650</v>
      </c>
      <c r="F85" s="10" t="n">
        <v>450</v>
      </c>
      <c r="G85" s="7" t="s">
        <v>212</v>
      </c>
      <c r="H85" s="7" t="s">
        <v>123</v>
      </c>
      <c r="I85" s="11"/>
      <c r="J85" s="13"/>
      <c r="K85" s="13"/>
      <c r="L85" s="13"/>
    </row>
    <row r="86" customFormat="false" ht="15" hidden="false" customHeight="false" outlineLevel="0" collapsed="false">
      <c r="A86" s="7" t="s">
        <v>382</v>
      </c>
      <c r="B86" s="7" t="s">
        <v>384</v>
      </c>
      <c r="C86" s="7" t="s">
        <v>359</v>
      </c>
      <c r="D86" s="7" t="s">
        <v>225</v>
      </c>
      <c r="E86" s="10" t="n">
        <v>2000</v>
      </c>
      <c r="F86" s="10" t="n">
        <v>1500</v>
      </c>
      <c r="G86" s="7" t="s">
        <v>212</v>
      </c>
      <c r="H86" s="7" t="s">
        <v>124</v>
      </c>
      <c r="I86" s="11"/>
      <c r="J86" s="13"/>
      <c r="K86" s="13"/>
      <c r="L86" s="13"/>
    </row>
    <row r="87" customFormat="false" ht="15" hidden="false" customHeight="false" outlineLevel="0" collapsed="false">
      <c r="A87" s="7" t="s">
        <v>385</v>
      </c>
      <c r="B87" s="7" t="s">
        <v>386</v>
      </c>
      <c r="C87" s="7" t="s">
        <v>359</v>
      </c>
      <c r="D87" s="7" t="s">
        <v>225</v>
      </c>
      <c r="E87" s="10" t="n">
        <v>3800</v>
      </c>
      <c r="F87" s="10" t="n">
        <v>2850</v>
      </c>
      <c r="G87" s="7" t="s">
        <v>212</v>
      </c>
      <c r="H87" s="7" t="s">
        <v>123</v>
      </c>
      <c r="I87" s="11"/>
      <c r="J87" s="13"/>
      <c r="K87" s="13"/>
      <c r="L87" s="13"/>
    </row>
    <row r="88" customFormat="false" ht="15" hidden="false" customHeight="false" outlineLevel="0" collapsed="false">
      <c r="A88" s="7" t="s">
        <v>387</v>
      </c>
      <c r="B88" s="7" t="s">
        <v>388</v>
      </c>
      <c r="C88" s="7" t="s">
        <v>359</v>
      </c>
      <c r="D88" s="7" t="s">
        <v>225</v>
      </c>
      <c r="E88" s="10" t="n">
        <v>2500</v>
      </c>
      <c r="F88" s="10" t="n">
        <v>1900</v>
      </c>
      <c r="G88" s="7" t="s">
        <v>212</v>
      </c>
      <c r="H88" s="7" t="s">
        <v>123</v>
      </c>
      <c r="I88" s="11"/>
      <c r="J88" s="13"/>
      <c r="K88" s="13"/>
      <c r="L88" s="13"/>
    </row>
    <row r="89" customFormat="false" ht="15" hidden="false" customHeight="false" outlineLevel="0" collapsed="false">
      <c r="A89" s="7" t="s">
        <v>389</v>
      </c>
      <c r="B89" s="7" t="s">
        <v>390</v>
      </c>
      <c r="C89" s="7" t="s">
        <v>359</v>
      </c>
      <c r="D89" s="7" t="s">
        <v>225</v>
      </c>
      <c r="E89" s="10" t="n">
        <v>4800</v>
      </c>
      <c r="F89" s="10" t="n">
        <v>3600</v>
      </c>
      <c r="G89" s="7" t="s">
        <v>212</v>
      </c>
      <c r="H89" s="7" t="s">
        <v>123</v>
      </c>
      <c r="I89" s="11"/>
      <c r="J89" s="13"/>
      <c r="K89" s="13"/>
      <c r="L89" s="13"/>
    </row>
    <row r="90" customFormat="false" ht="15" hidden="false" customHeight="false" outlineLevel="0" collapsed="false">
      <c r="A90" s="7" t="s">
        <v>391</v>
      </c>
      <c r="B90" s="7" t="s">
        <v>392</v>
      </c>
      <c r="C90" s="7" t="s">
        <v>393</v>
      </c>
      <c r="D90" s="7" t="s">
        <v>360</v>
      </c>
      <c r="E90" s="10" t="n">
        <v>900</v>
      </c>
      <c r="F90" s="10" t="n">
        <v>650</v>
      </c>
      <c r="G90" s="7" t="s">
        <v>212</v>
      </c>
      <c r="H90" s="7" t="s">
        <v>123</v>
      </c>
      <c r="I90" s="11"/>
      <c r="J90" s="13"/>
      <c r="K90" s="13"/>
      <c r="L90" s="13"/>
    </row>
    <row r="91" customFormat="false" ht="15" hidden="false" customHeight="false" outlineLevel="0" collapsed="false">
      <c r="A91" s="7" t="s">
        <v>399</v>
      </c>
      <c r="B91" s="7" t="s">
        <v>400</v>
      </c>
      <c r="C91" s="7" t="s">
        <v>393</v>
      </c>
      <c r="D91" s="7" t="s">
        <v>360</v>
      </c>
      <c r="E91" s="10" t="n">
        <v>1200</v>
      </c>
      <c r="F91" s="10" t="n">
        <v>850</v>
      </c>
      <c r="G91" s="7" t="s">
        <v>212</v>
      </c>
      <c r="H91" s="7" t="s">
        <v>123</v>
      </c>
      <c r="I91" s="11"/>
      <c r="J91" s="13"/>
      <c r="K91" s="13"/>
      <c r="L91" s="13"/>
    </row>
    <row r="92" customFormat="false" ht="15" hidden="false" customHeight="false" outlineLevel="0" collapsed="false">
      <c r="A92" s="7" t="s">
        <v>401</v>
      </c>
      <c r="B92" s="7" t="s">
        <v>402</v>
      </c>
      <c r="C92" s="7" t="s">
        <v>393</v>
      </c>
      <c r="D92" s="7" t="s">
        <v>360</v>
      </c>
      <c r="E92" s="10" t="n">
        <v>1000</v>
      </c>
      <c r="F92" s="10" t="n">
        <v>720</v>
      </c>
      <c r="G92" s="7" t="s">
        <v>212</v>
      </c>
      <c r="H92" s="7" t="s">
        <v>123</v>
      </c>
      <c r="I92" s="11"/>
      <c r="J92" s="13"/>
      <c r="K92" s="13"/>
      <c r="L92" s="13"/>
    </row>
    <row r="93" customFormat="false" ht="15" hidden="false" customHeight="false" outlineLevel="0" collapsed="false">
      <c r="A93" s="7" t="s">
        <v>403</v>
      </c>
      <c r="B93" s="7" t="s">
        <v>404</v>
      </c>
      <c r="C93" s="7" t="s">
        <v>393</v>
      </c>
      <c r="D93" s="7" t="s">
        <v>360</v>
      </c>
      <c r="E93" s="10" t="n">
        <v>1100</v>
      </c>
      <c r="F93" s="10" t="n">
        <v>780</v>
      </c>
      <c r="G93" s="7" t="s">
        <v>212</v>
      </c>
      <c r="H93" s="7" t="s">
        <v>123</v>
      </c>
      <c r="I93" s="11"/>
      <c r="J93" s="13"/>
      <c r="K93" s="13"/>
      <c r="L93" s="13"/>
    </row>
    <row r="94" customFormat="false" ht="15" hidden="false" customHeight="false" outlineLevel="0" collapsed="false">
      <c r="A94" s="7" t="s">
        <v>405</v>
      </c>
      <c r="B94" s="7" t="s">
        <v>406</v>
      </c>
      <c r="C94" s="7" t="s">
        <v>393</v>
      </c>
      <c r="D94" s="7" t="s">
        <v>360</v>
      </c>
      <c r="E94" s="10" t="n">
        <v>1300</v>
      </c>
      <c r="F94" s="10" t="n">
        <v>920</v>
      </c>
      <c r="G94" s="7" t="s">
        <v>212</v>
      </c>
      <c r="H94" s="7" t="s">
        <v>123</v>
      </c>
      <c r="I94" s="11"/>
      <c r="J94" s="13"/>
      <c r="K94" s="13"/>
      <c r="L94" s="13"/>
    </row>
    <row r="95" customFormat="false" ht="15" hidden="false" customHeight="false" outlineLevel="0" collapsed="false">
      <c r="A95" s="7" t="s">
        <v>407</v>
      </c>
      <c r="B95" s="7" t="s">
        <v>409</v>
      </c>
      <c r="C95" s="7" t="s">
        <v>410</v>
      </c>
      <c r="D95" s="7" t="s">
        <v>410</v>
      </c>
      <c r="E95" s="10" t="n">
        <v>150</v>
      </c>
      <c r="F95" s="10" t="n">
        <v>100</v>
      </c>
      <c r="G95" s="7" t="s">
        <v>212</v>
      </c>
      <c r="H95" s="7" t="s">
        <v>124</v>
      </c>
      <c r="I95" s="11"/>
      <c r="J95" s="13"/>
      <c r="K95" s="13"/>
      <c r="L95" s="13"/>
    </row>
    <row r="96" customFormat="false" ht="15" hidden="false" customHeight="false" outlineLevel="0" collapsed="false">
      <c r="A96" s="7" t="s">
        <v>414</v>
      </c>
      <c r="B96" s="7" t="s">
        <v>416</v>
      </c>
      <c r="C96" s="7" t="s">
        <v>410</v>
      </c>
      <c r="D96" s="7" t="s">
        <v>410</v>
      </c>
      <c r="E96" s="10" t="n">
        <v>300</v>
      </c>
      <c r="F96" s="10" t="n">
        <v>200</v>
      </c>
      <c r="G96" s="7" t="s">
        <v>212</v>
      </c>
      <c r="H96" s="7" t="s">
        <v>124</v>
      </c>
      <c r="I96" s="11"/>
      <c r="J96" s="13"/>
      <c r="K96" s="13"/>
      <c r="L96" s="13"/>
    </row>
    <row r="97" customFormat="false" ht="15" hidden="false" customHeight="false" outlineLevel="0" collapsed="false">
      <c r="A97" s="7" t="s">
        <v>425</v>
      </c>
      <c r="B97" s="7" t="s">
        <v>427</v>
      </c>
      <c r="C97" s="7" t="s">
        <v>419</v>
      </c>
      <c r="D97" s="7" t="s">
        <v>208</v>
      </c>
      <c r="E97" s="10" t="n">
        <v>2200</v>
      </c>
      <c r="F97" s="10" t="n">
        <v>1300</v>
      </c>
      <c r="G97" s="7" t="s">
        <v>212</v>
      </c>
      <c r="H97" s="7" t="s">
        <v>124</v>
      </c>
      <c r="I97" s="11"/>
      <c r="J97" s="13"/>
      <c r="K97" s="13"/>
      <c r="L97" s="13"/>
    </row>
    <row r="98" customFormat="false" ht="15" hidden="false" customHeight="false" outlineLevel="0" collapsed="false">
      <c r="A98" s="7" t="s">
        <v>434</v>
      </c>
      <c r="B98" s="7" t="s">
        <v>436</v>
      </c>
      <c r="C98" s="7" t="s">
        <v>419</v>
      </c>
      <c r="D98" s="7" t="s">
        <v>208</v>
      </c>
      <c r="E98" s="10" t="n">
        <v>2400</v>
      </c>
      <c r="F98" s="10" t="n">
        <v>1450</v>
      </c>
      <c r="G98" s="7" t="s">
        <v>212</v>
      </c>
      <c r="H98" s="7" t="s">
        <v>124</v>
      </c>
      <c r="I98" s="11"/>
      <c r="J98" s="13"/>
      <c r="K98" s="13"/>
      <c r="L98" s="13"/>
    </row>
    <row r="99" customFormat="false" ht="15" hidden="false" customHeight="false" outlineLevel="0" collapsed="false">
      <c r="A99" s="7" t="s">
        <v>437</v>
      </c>
      <c r="B99" s="7" t="s">
        <v>438</v>
      </c>
      <c r="C99" s="7" t="s">
        <v>419</v>
      </c>
      <c r="D99" s="7" t="s">
        <v>208</v>
      </c>
      <c r="E99" s="10" t="n">
        <v>2500</v>
      </c>
      <c r="F99" s="10" t="n">
        <v>1500</v>
      </c>
      <c r="G99" s="7" t="s">
        <v>212</v>
      </c>
      <c r="H99" s="7" t="s">
        <v>123</v>
      </c>
      <c r="I99" s="11"/>
      <c r="J99" s="13"/>
      <c r="K99" s="13"/>
      <c r="L99" s="13"/>
    </row>
    <row r="100" customFormat="false" ht="15" hidden="false" customHeight="false" outlineLevel="0" collapsed="false">
      <c r="A100" s="7" t="s">
        <v>445</v>
      </c>
      <c r="B100" s="7" t="s">
        <v>446</v>
      </c>
      <c r="C100" s="7" t="s">
        <v>419</v>
      </c>
      <c r="D100" s="7" t="s">
        <v>208</v>
      </c>
      <c r="E100" s="10" t="n">
        <v>2600</v>
      </c>
      <c r="F100" s="10" t="n">
        <v>1600</v>
      </c>
      <c r="G100" s="7" t="s">
        <v>212</v>
      </c>
      <c r="H100" s="7" t="s">
        <v>123</v>
      </c>
      <c r="I100" s="11"/>
      <c r="J100" s="13"/>
      <c r="K100" s="13"/>
      <c r="L100" s="13"/>
    </row>
  </sheetData>
  <mergeCells count="1">
    <mergeCell ref="A2:L3"/>
  </mergeCells>
  <dataValidations count="1">
    <dataValidation allowBlank="true" errorStyle="stop" operator="between" showDropDown="false" showErrorMessage="false" showInputMessage="false" sqref="J6:J100" type="list">
      <formula1>"Use 70%,Keep draft B2B (approved exception),Other"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8" min="2" style="0" width="10"/>
    <col collapsed="false" customWidth="true" hidden="false" outlineLevel="0" max="9" min="9" style="0" width="60"/>
  </cols>
  <sheetData>
    <row r="1" customFormat="false" ht="17.35" hidden="false" customHeight="false" outlineLevel="0" collapsed="false">
      <c r="A1" s="1" t="s">
        <v>515</v>
      </c>
      <c r="B1" s="2"/>
      <c r="C1" s="2"/>
      <c r="D1" s="2"/>
      <c r="E1" s="2"/>
      <c r="F1" s="2"/>
      <c r="G1" s="2"/>
      <c r="H1" s="2"/>
      <c r="I1" s="2"/>
    </row>
    <row r="2" customFormat="false" ht="15" hidden="false" customHeight="false" outlineLevel="0" collapsed="false">
      <c r="A2" s="2"/>
      <c r="B2" s="2"/>
      <c r="C2" s="2"/>
      <c r="D2" s="2"/>
      <c r="E2" s="2"/>
      <c r="F2" s="2"/>
      <c r="G2" s="2"/>
      <c r="H2" s="2"/>
      <c r="I2" s="2"/>
    </row>
    <row r="3" customFormat="false" ht="23.85" hidden="false" customHeight="false" outlineLevel="0" collapsed="false">
      <c r="A3" s="6" t="s">
        <v>516</v>
      </c>
      <c r="B3" s="6" t="s">
        <v>517</v>
      </c>
      <c r="C3" s="6" t="s">
        <v>518</v>
      </c>
      <c r="D3" s="6" t="s">
        <v>519</v>
      </c>
      <c r="E3" s="6" t="s">
        <v>520</v>
      </c>
      <c r="F3" s="6" t="s">
        <v>521</v>
      </c>
      <c r="G3" s="6" t="s">
        <v>522</v>
      </c>
      <c r="H3" s="6" t="s">
        <v>523</v>
      </c>
      <c r="I3" s="6" t="s">
        <v>1</v>
      </c>
    </row>
    <row r="4" customFormat="false" ht="23.85" hidden="false" customHeight="false" outlineLevel="0" collapsed="false">
      <c r="A4" s="7" t="s">
        <v>524</v>
      </c>
      <c r="B4" s="7" t="s">
        <v>525</v>
      </c>
      <c r="C4" s="7" t="s">
        <v>525</v>
      </c>
      <c r="D4" s="7" t="s">
        <v>525</v>
      </c>
      <c r="E4" s="7" t="s">
        <v>525</v>
      </c>
      <c r="F4" s="7" t="s">
        <v>525</v>
      </c>
      <c r="G4" s="7" t="s">
        <v>525</v>
      </c>
      <c r="H4" s="7" t="s">
        <v>525</v>
      </c>
      <c r="I4" s="7" t="s">
        <v>526</v>
      </c>
    </row>
    <row r="5" customFormat="false" ht="23.85" hidden="false" customHeight="false" outlineLevel="0" collapsed="false">
      <c r="A5" s="7" t="s">
        <v>527</v>
      </c>
      <c r="B5" s="7" t="s">
        <v>525</v>
      </c>
      <c r="C5" s="7" t="s">
        <v>525</v>
      </c>
      <c r="D5" s="7" t="s">
        <v>525</v>
      </c>
      <c r="E5" s="7" t="s">
        <v>525</v>
      </c>
      <c r="F5" s="7" t="s">
        <v>525</v>
      </c>
      <c r="G5" s="7" t="s">
        <v>525</v>
      </c>
      <c r="H5" s="7" t="s">
        <v>525</v>
      </c>
      <c r="I5" s="7" t="s">
        <v>526</v>
      </c>
    </row>
    <row r="6" customFormat="false" ht="23.85" hidden="false" customHeight="false" outlineLevel="0" collapsed="false">
      <c r="A6" s="7" t="s">
        <v>528</v>
      </c>
      <c r="B6" s="7" t="s">
        <v>525</v>
      </c>
      <c r="C6" s="7" t="s">
        <v>525</v>
      </c>
      <c r="D6" s="7" t="s">
        <v>525</v>
      </c>
      <c r="E6" s="7" t="s">
        <v>525</v>
      </c>
      <c r="F6" s="7" t="s">
        <v>525</v>
      </c>
      <c r="G6" s="7" t="s">
        <v>525</v>
      </c>
      <c r="H6" s="7" t="s">
        <v>525</v>
      </c>
      <c r="I6" s="7" t="s">
        <v>526</v>
      </c>
    </row>
    <row r="7" customFormat="false" ht="23.85" hidden="false" customHeight="false" outlineLevel="0" collapsed="false">
      <c r="A7" s="7" t="s">
        <v>529</v>
      </c>
      <c r="B7" s="7" t="s">
        <v>525</v>
      </c>
      <c r="C7" s="7" t="s">
        <v>525</v>
      </c>
      <c r="D7" s="7" t="s">
        <v>525</v>
      </c>
      <c r="E7" s="7" t="s">
        <v>525</v>
      </c>
      <c r="F7" s="7" t="s">
        <v>525</v>
      </c>
      <c r="G7" s="7" t="s">
        <v>525</v>
      </c>
      <c r="H7" s="7" t="s">
        <v>525</v>
      </c>
      <c r="I7" s="7" t="s">
        <v>526</v>
      </c>
    </row>
    <row r="8" customFormat="false" ht="23.85" hidden="false" customHeight="false" outlineLevel="0" collapsed="false">
      <c r="A8" s="7" t="s">
        <v>530</v>
      </c>
      <c r="B8" s="7" t="s">
        <v>525</v>
      </c>
      <c r="C8" s="7" t="s">
        <v>525</v>
      </c>
      <c r="D8" s="7" t="s">
        <v>525</v>
      </c>
      <c r="E8" s="7" t="s">
        <v>525</v>
      </c>
      <c r="F8" s="7" t="s">
        <v>525</v>
      </c>
      <c r="G8" s="7" t="s">
        <v>525</v>
      </c>
      <c r="H8" s="7" t="s">
        <v>525</v>
      </c>
      <c r="I8" s="7" t="s">
        <v>526</v>
      </c>
    </row>
    <row r="9" customFormat="false" ht="23.85" hidden="false" customHeight="false" outlineLevel="0" collapsed="false">
      <c r="A9" s="7" t="s">
        <v>531</v>
      </c>
      <c r="B9" s="7" t="s">
        <v>525</v>
      </c>
      <c r="C9" s="7" t="s">
        <v>525</v>
      </c>
      <c r="D9" s="7" t="s">
        <v>525</v>
      </c>
      <c r="E9" s="7" t="s">
        <v>525</v>
      </c>
      <c r="F9" s="7" t="s">
        <v>525</v>
      </c>
      <c r="G9" s="7" t="s">
        <v>525</v>
      </c>
      <c r="H9" s="7" t="s">
        <v>525</v>
      </c>
      <c r="I9" s="7" t="s">
        <v>526</v>
      </c>
    </row>
    <row r="10" customFormat="false" ht="23.85" hidden="false" customHeight="false" outlineLevel="0" collapsed="false">
      <c r="A10" s="7" t="s">
        <v>532</v>
      </c>
      <c r="B10" s="7" t="s">
        <v>525</v>
      </c>
      <c r="C10" s="7" t="s">
        <v>525</v>
      </c>
      <c r="D10" s="7" t="s">
        <v>525</v>
      </c>
      <c r="E10" s="7" t="s">
        <v>525</v>
      </c>
      <c r="F10" s="7" t="s">
        <v>525</v>
      </c>
      <c r="G10" s="7" t="s">
        <v>525</v>
      </c>
      <c r="H10" s="7" t="s">
        <v>525</v>
      </c>
      <c r="I10" s="7" t="s">
        <v>526</v>
      </c>
    </row>
    <row r="11" customFormat="false" ht="23.85" hidden="false" customHeight="false" outlineLevel="0" collapsed="false">
      <c r="A11" s="7" t="s">
        <v>533</v>
      </c>
      <c r="B11" s="7" t="s">
        <v>525</v>
      </c>
      <c r="C11" s="7" t="s">
        <v>525</v>
      </c>
      <c r="D11" s="7" t="s">
        <v>525</v>
      </c>
      <c r="E11" s="7" t="s">
        <v>525</v>
      </c>
      <c r="F11" s="7" t="s">
        <v>525</v>
      </c>
      <c r="G11" s="7" t="s">
        <v>525</v>
      </c>
      <c r="H11" s="7" t="s">
        <v>525</v>
      </c>
      <c r="I11" s="7" t="s">
        <v>526</v>
      </c>
    </row>
    <row r="12" customFormat="false" ht="23.85" hidden="false" customHeight="false" outlineLevel="0" collapsed="false">
      <c r="A12" s="7" t="s">
        <v>534</v>
      </c>
      <c r="B12" s="7" t="s">
        <v>525</v>
      </c>
      <c r="C12" s="7" t="s">
        <v>525</v>
      </c>
      <c r="D12" s="7" t="s">
        <v>525</v>
      </c>
      <c r="E12" s="7" t="s">
        <v>525</v>
      </c>
      <c r="F12" s="7" t="s">
        <v>525</v>
      </c>
      <c r="G12" s="7" t="s">
        <v>525</v>
      </c>
      <c r="H12" s="7" t="s">
        <v>525</v>
      </c>
      <c r="I12" s="7" t="s">
        <v>526</v>
      </c>
    </row>
    <row r="13" customFormat="false" ht="23.85" hidden="false" customHeight="false" outlineLevel="0" collapsed="false">
      <c r="A13" s="7" t="s">
        <v>535</v>
      </c>
      <c r="B13" s="7" t="s">
        <v>525</v>
      </c>
      <c r="C13" s="7" t="s">
        <v>525</v>
      </c>
      <c r="D13" s="7" t="s">
        <v>525</v>
      </c>
      <c r="E13" s="7" t="s">
        <v>525</v>
      </c>
      <c r="F13" s="7" t="s">
        <v>525</v>
      </c>
      <c r="G13" s="7" t="s">
        <v>525</v>
      </c>
      <c r="H13" s="7" t="s">
        <v>525</v>
      </c>
      <c r="I13" s="7" t="s">
        <v>526</v>
      </c>
    </row>
    <row r="14" customFormat="false" ht="23.85" hidden="false" customHeight="false" outlineLevel="0" collapsed="false">
      <c r="A14" s="7" t="s">
        <v>536</v>
      </c>
      <c r="B14" s="7" t="s">
        <v>525</v>
      </c>
      <c r="C14" s="7" t="s">
        <v>525</v>
      </c>
      <c r="D14" s="7" t="s">
        <v>525</v>
      </c>
      <c r="E14" s="7" t="s">
        <v>525</v>
      </c>
      <c r="F14" s="7" t="s">
        <v>525</v>
      </c>
      <c r="G14" s="7" t="s">
        <v>525</v>
      </c>
      <c r="H14" s="7" t="s">
        <v>525</v>
      </c>
      <c r="I14" s="7" t="s">
        <v>526</v>
      </c>
    </row>
    <row r="15" customFormat="false" ht="23.85" hidden="false" customHeight="false" outlineLevel="0" collapsed="false">
      <c r="A15" s="7" t="s">
        <v>537</v>
      </c>
      <c r="B15" s="7" t="s">
        <v>525</v>
      </c>
      <c r="C15" s="7" t="s">
        <v>525</v>
      </c>
      <c r="D15" s="7" t="s">
        <v>525</v>
      </c>
      <c r="E15" s="7" t="s">
        <v>525</v>
      </c>
      <c r="F15" s="7" t="s">
        <v>525</v>
      </c>
      <c r="G15" s="7" t="s">
        <v>525</v>
      </c>
      <c r="H15" s="7" t="s">
        <v>525</v>
      </c>
      <c r="I15" s="7" t="s">
        <v>526</v>
      </c>
    </row>
    <row r="16" customFormat="false" ht="15" hidden="false" customHeight="false" outlineLevel="0" collapsed="false">
      <c r="A16" s="2"/>
      <c r="B16" s="2"/>
      <c r="C16" s="2"/>
      <c r="D16" s="2"/>
      <c r="E16" s="2"/>
      <c r="F16" s="2"/>
      <c r="G16" s="2"/>
      <c r="H16" s="2"/>
      <c r="I16" s="2"/>
    </row>
    <row r="17" customFormat="false" ht="23.85" hidden="false" customHeight="false" outlineLevel="0" collapsed="false">
      <c r="A17" s="7" t="s">
        <v>538</v>
      </c>
      <c r="B17" s="7" t="s">
        <v>32</v>
      </c>
      <c r="C17" s="7" t="s">
        <v>32</v>
      </c>
      <c r="D17" s="7" t="s">
        <v>32</v>
      </c>
      <c r="E17" s="7" t="s">
        <v>32</v>
      </c>
      <c r="F17" s="7" t="s">
        <v>32</v>
      </c>
      <c r="G17" s="7" t="s">
        <v>32</v>
      </c>
      <c r="H17" s="7" t="s">
        <v>32</v>
      </c>
      <c r="I17" s="12" t="s">
        <v>539</v>
      </c>
    </row>
    <row r="18" customFormat="false" ht="35.05" hidden="false" customHeight="false" outlineLevel="0" collapsed="false">
      <c r="A18" s="7" t="s">
        <v>540</v>
      </c>
      <c r="B18" s="7" t="s">
        <v>541</v>
      </c>
      <c r="C18" s="7" t="s">
        <v>541</v>
      </c>
      <c r="D18" s="7" t="s">
        <v>541</v>
      </c>
      <c r="E18" s="7" t="s">
        <v>541</v>
      </c>
      <c r="F18" s="7" t="s">
        <v>541</v>
      </c>
      <c r="G18" s="7" t="s">
        <v>541</v>
      </c>
      <c r="H18" s="7" t="s">
        <v>541</v>
      </c>
      <c r="I18" s="7" t="s">
        <v>542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30"/>
    <col collapsed="false" customWidth="true" hidden="false" outlineLevel="0" max="3" min="3" style="0" width="18"/>
    <col collapsed="false" customWidth="true" hidden="false" outlineLevel="0" max="4" min="4" style="0" width="26"/>
    <col collapsed="false" customWidth="true" hidden="false" outlineLevel="0" max="6" min="5" style="0" width="60"/>
    <col collapsed="false" customWidth="true" hidden="false" outlineLevel="0" max="7" min="7" style="0" width="24"/>
  </cols>
  <sheetData>
    <row r="1" customFormat="false" ht="17.35" hidden="false" customHeight="false" outlineLevel="0" collapsed="false">
      <c r="A1" s="1" t="s">
        <v>543</v>
      </c>
      <c r="B1" s="2"/>
      <c r="C1" s="2"/>
      <c r="D1" s="2"/>
      <c r="E1" s="2"/>
      <c r="F1" s="2"/>
      <c r="G1" s="2"/>
    </row>
    <row r="2" customFormat="false" ht="15" hidden="false" customHeight="false" outlineLevel="0" collapsed="false">
      <c r="A2" s="2"/>
      <c r="B2" s="2"/>
      <c r="C2" s="2"/>
      <c r="D2" s="2"/>
      <c r="E2" s="2"/>
      <c r="F2" s="2"/>
      <c r="G2" s="2"/>
    </row>
    <row r="3" customFormat="false" ht="15" hidden="false" customHeight="false" outlineLevel="0" collapsed="false">
      <c r="A3" s="6" t="s">
        <v>75</v>
      </c>
      <c r="B3" s="6" t="s">
        <v>544</v>
      </c>
      <c r="C3" s="6" t="s">
        <v>545</v>
      </c>
      <c r="D3" s="6" t="s">
        <v>546</v>
      </c>
      <c r="E3" s="6" t="s">
        <v>547</v>
      </c>
      <c r="F3" s="6" t="s">
        <v>548</v>
      </c>
      <c r="G3" s="6" t="s">
        <v>549</v>
      </c>
    </row>
    <row r="4" customFormat="false" ht="35.05" hidden="false" customHeight="false" outlineLevel="0" collapsed="false">
      <c r="A4" s="7" t="s">
        <v>550</v>
      </c>
      <c r="B4" s="7" t="s">
        <v>551</v>
      </c>
      <c r="C4" s="7" t="s">
        <v>552</v>
      </c>
      <c r="D4" s="7" t="s">
        <v>553</v>
      </c>
      <c r="E4" s="7" t="s">
        <v>554</v>
      </c>
      <c r="F4" s="7" t="s">
        <v>555</v>
      </c>
      <c r="G4" s="7" t="s">
        <v>479</v>
      </c>
    </row>
    <row r="5" customFormat="false" ht="23.85" hidden="false" customHeight="false" outlineLevel="0" collapsed="false">
      <c r="A5" s="7" t="s">
        <v>556</v>
      </c>
      <c r="B5" s="7" t="s">
        <v>557</v>
      </c>
      <c r="C5" s="7" t="s">
        <v>558</v>
      </c>
      <c r="D5" s="7" t="s">
        <v>559</v>
      </c>
      <c r="E5" s="7" t="s">
        <v>560</v>
      </c>
      <c r="F5" s="7" t="s">
        <v>561</v>
      </c>
      <c r="G5" s="7" t="s">
        <v>479</v>
      </c>
    </row>
    <row r="6" customFormat="false" ht="46.25" hidden="false" customHeight="false" outlineLevel="0" collapsed="false">
      <c r="A6" s="7" t="s">
        <v>562</v>
      </c>
      <c r="B6" s="7" t="s">
        <v>563</v>
      </c>
      <c r="C6" s="7" t="s">
        <v>564</v>
      </c>
      <c r="D6" s="7" t="s">
        <v>565</v>
      </c>
      <c r="E6" s="7" t="s">
        <v>566</v>
      </c>
      <c r="F6" s="7" t="s">
        <v>567</v>
      </c>
      <c r="G6" s="7" t="s">
        <v>479</v>
      </c>
    </row>
    <row r="7" customFormat="false" ht="23.85" hidden="false" customHeight="false" outlineLevel="0" collapsed="false">
      <c r="A7" s="7" t="s">
        <v>568</v>
      </c>
      <c r="B7" s="7" t="s">
        <v>569</v>
      </c>
      <c r="C7" s="7" t="s">
        <v>570</v>
      </c>
      <c r="D7" s="7" t="s">
        <v>571</v>
      </c>
      <c r="E7" s="7" t="s">
        <v>572</v>
      </c>
      <c r="F7" s="7" t="s">
        <v>573</v>
      </c>
      <c r="G7" s="7" t="s">
        <v>574</v>
      </c>
    </row>
    <row r="8" customFormat="false" ht="35.05" hidden="false" customHeight="false" outlineLevel="0" collapsed="false">
      <c r="A8" s="7" t="s">
        <v>575</v>
      </c>
      <c r="B8" s="7" t="s">
        <v>576</v>
      </c>
      <c r="C8" s="7" t="s">
        <v>577</v>
      </c>
      <c r="D8" s="7" t="s">
        <v>553</v>
      </c>
      <c r="E8" s="7" t="s">
        <v>578</v>
      </c>
      <c r="F8" s="7" t="s">
        <v>579</v>
      </c>
      <c r="G8" s="7" t="s">
        <v>479</v>
      </c>
    </row>
    <row r="9" customFormat="false" ht="35.05" hidden="false" customHeight="false" outlineLevel="0" collapsed="false">
      <c r="A9" s="7" t="s">
        <v>580</v>
      </c>
      <c r="B9" s="7" t="s">
        <v>581</v>
      </c>
      <c r="C9" s="7" t="s">
        <v>582</v>
      </c>
      <c r="D9" s="7" t="s">
        <v>583</v>
      </c>
      <c r="E9" s="7" t="s">
        <v>584</v>
      </c>
      <c r="F9" s="7" t="s">
        <v>585</v>
      </c>
      <c r="G9" s="7" t="s">
        <v>574</v>
      </c>
    </row>
    <row r="10" customFormat="false" ht="15" hidden="false" customHeight="false" outlineLevel="0" collapsed="false">
      <c r="A10" s="7" t="s">
        <v>586</v>
      </c>
      <c r="B10" s="7" t="s">
        <v>587</v>
      </c>
      <c r="C10" s="7" t="s">
        <v>588</v>
      </c>
      <c r="D10" s="7" t="s">
        <v>589</v>
      </c>
      <c r="E10" s="7" t="s">
        <v>590</v>
      </c>
      <c r="F10" s="7" t="s">
        <v>591</v>
      </c>
      <c r="G10" s="7" t="s">
        <v>574</v>
      </c>
    </row>
    <row r="11" customFormat="false" ht="15" hidden="false" customHeight="false" outlineLevel="0" collapsed="false">
      <c r="A11" s="7" t="s">
        <v>592</v>
      </c>
      <c r="B11" s="7" t="s">
        <v>593</v>
      </c>
      <c r="C11" s="7" t="s">
        <v>594</v>
      </c>
      <c r="D11" s="7" t="s">
        <v>595</v>
      </c>
      <c r="E11" s="7" t="s">
        <v>596</v>
      </c>
      <c r="F11" s="7" t="s">
        <v>597</v>
      </c>
      <c r="G11" s="7" t="s">
        <v>598</v>
      </c>
    </row>
    <row r="12" customFormat="false" ht="35.05" hidden="false" customHeight="false" outlineLevel="0" collapsed="false">
      <c r="A12" s="7" t="s">
        <v>599</v>
      </c>
      <c r="B12" s="7" t="s">
        <v>600</v>
      </c>
      <c r="C12" s="7" t="s">
        <v>601</v>
      </c>
      <c r="D12" s="7" t="s">
        <v>602</v>
      </c>
      <c r="E12" s="7" t="s">
        <v>603</v>
      </c>
      <c r="F12" s="7" t="s">
        <v>604</v>
      </c>
      <c r="G12" s="7" t="s">
        <v>479</v>
      </c>
    </row>
    <row r="13" customFormat="false" ht="15" hidden="false" customHeight="false" outlineLevel="0" collapsed="false">
      <c r="A13" s="2"/>
      <c r="B13" s="2"/>
      <c r="C13" s="2"/>
      <c r="D13" s="2"/>
      <c r="E13" s="2"/>
      <c r="F13" s="2"/>
      <c r="G13" s="2"/>
    </row>
    <row r="14" customFormat="false" ht="15" hidden="false" customHeight="false" outlineLevel="0" collapsed="false">
      <c r="A14" s="14" t="s">
        <v>605</v>
      </c>
      <c r="B14" s="2"/>
      <c r="C14" s="2"/>
      <c r="D14" s="2"/>
      <c r="E14" s="2"/>
      <c r="F14" s="2"/>
      <c r="G14" s="2"/>
    </row>
    <row r="15" customFormat="false" ht="15" hidden="false" customHeight="false" outlineLevel="0" collapsed="false">
      <c r="A15" s="5" t="s">
        <v>606</v>
      </c>
      <c r="B15" s="2"/>
      <c r="C15" s="2"/>
      <c r="D15" s="2"/>
      <c r="E15" s="2"/>
      <c r="F15" s="2"/>
      <c r="G15"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s>
  <sheetData>
    <row r="1" customFormat="false" ht="17.35" hidden="false" customHeight="false" outlineLevel="0" collapsed="false">
      <c r="A1" s="1" t="s">
        <v>607</v>
      </c>
    </row>
    <row r="2" customFormat="false" ht="15" hidden="false" customHeight="false" outlineLevel="0" collapsed="false">
      <c r="A2" s="2"/>
    </row>
    <row r="3" customFormat="false" ht="15" hidden="false" customHeight="false" outlineLevel="0" collapsed="false">
      <c r="A3" s="4" t="s">
        <v>608</v>
      </c>
    </row>
    <row r="4" customFormat="false" ht="15" hidden="false" customHeight="false" outlineLevel="0" collapsed="false">
      <c r="A4" s="4" t="s">
        <v>609</v>
      </c>
    </row>
    <row r="5" customFormat="false" ht="15" hidden="false" customHeight="false" outlineLevel="0" collapsed="false">
      <c r="A5" s="4" t="s">
        <v>610</v>
      </c>
    </row>
    <row r="6" customFormat="false" ht="15" hidden="false" customHeight="false" outlineLevel="0" collapsed="false">
      <c r="A6" s="4" t="s">
        <v>611</v>
      </c>
    </row>
    <row r="7" customFormat="false" ht="15" hidden="false" customHeight="false" outlineLevel="0" collapsed="false">
      <c r="A7" s="4" t="s">
        <v>612</v>
      </c>
    </row>
    <row r="8" customFormat="false" ht="15" hidden="false" customHeight="false" outlineLevel="0" collapsed="false">
      <c r="A8" s="4" t="s">
        <v>613</v>
      </c>
    </row>
    <row r="9" customFormat="false" ht="15" hidden="false" customHeight="false" outlineLevel="0" collapsed="false">
      <c r="A9" s="4" t="s">
        <v>614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0"/>
    <col collapsed="false" customWidth="true" hidden="false" outlineLevel="0" max="2" min="2" style="0" width="10"/>
    <col collapsed="false" customWidth="true" hidden="false" outlineLevel="0" max="3" min="3" style="0" width="30"/>
    <col collapsed="false" customWidth="true" hidden="false" outlineLevel="0" max="4" min="4" style="0" width="40"/>
  </cols>
  <sheetData>
    <row r="1" customFormat="false" ht="17.35" hidden="false" customHeight="false" outlineLevel="0" collapsed="false">
      <c r="A1" s="1" t="s">
        <v>615</v>
      </c>
      <c r="B1" s="2"/>
      <c r="C1" s="2"/>
      <c r="D1" s="2"/>
    </row>
    <row r="2" customFormat="false" ht="15" hidden="false" customHeight="false" outlineLevel="0" collapsed="false">
      <c r="A2" s="2"/>
      <c r="B2" s="2"/>
      <c r="C2" s="2"/>
      <c r="D2" s="2"/>
    </row>
    <row r="3" customFormat="false" ht="15" hidden="false" customHeight="false" outlineLevel="0" collapsed="false">
      <c r="A3" s="6" t="s">
        <v>62</v>
      </c>
      <c r="B3" s="6" t="s">
        <v>616</v>
      </c>
      <c r="C3" s="6" t="s">
        <v>514</v>
      </c>
      <c r="D3" s="6" t="s">
        <v>1</v>
      </c>
    </row>
    <row r="4" customFormat="false" ht="23.85" hidden="false" customHeight="false" outlineLevel="0" collapsed="false">
      <c r="A4" s="7" t="s">
        <v>617</v>
      </c>
      <c r="B4" s="7" t="s">
        <v>618</v>
      </c>
      <c r="C4" s="7" t="s">
        <v>619</v>
      </c>
      <c r="D4" s="7" t="s">
        <v>620</v>
      </c>
    </row>
    <row r="5" customFormat="false" ht="15" hidden="false" customHeight="false" outlineLevel="0" collapsed="false">
      <c r="A5" s="7" t="s">
        <v>621</v>
      </c>
      <c r="B5" s="7" t="n">
        <f aca="false">Totals!C13</f>
        <v>25</v>
      </c>
      <c r="C5" s="7" t="s">
        <v>479</v>
      </c>
      <c r="D5" s="7" t="s">
        <v>622</v>
      </c>
    </row>
    <row r="6" customFormat="false" ht="15" hidden="false" customHeight="false" outlineLevel="0" collapsed="false">
      <c r="A6" s="7" t="s">
        <v>623</v>
      </c>
      <c r="B6" s="7" t="n">
        <f aca="false">Totals!C5-Totals!C13</f>
        <v>15</v>
      </c>
      <c r="C6" s="7" t="s">
        <v>479</v>
      </c>
      <c r="D6" s="7" t="s">
        <v>624</v>
      </c>
    </row>
    <row r="7" customFormat="false" ht="15" hidden="false" customHeight="false" outlineLevel="0" collapsed="false">
      <c r="A7" s="7" t="s">
        <v>625</v>
      </c>
      <c r="B7" s="7" t="n">
        <f aca="false">Totals!D16</f>
        <v>94</v>
      </c>
      <c r="C7" s="7" t="s">
        <v>475</v>
      </c>
      <c r="D7" s="7" t="s">
        <v>626</v>
      </c>
    </row>
    <row r="8" customFormat="false" ht="15" hidden="false" customHeight="false" outlineLevel="0" collapsed="false">
      <c r="A8" s="7" t="s">
        <v>627</v>
      </c>
      <c r="B8" s="7" t="n">
        <f aca="false">Totals!C10</f>
        <v>12</v>
      </c>
      <c r="C8" s="7" t="s">
        <v>479</v>
      </c>
      <c r="D8" s="7" t="s">
        <v>628</v>
      </c>
    </row>
    <row r="9" customFormat="false" ht="15" hidden="false" customHeight="false" outlineLevel="0" collapsed="false">
      <c r="A9" s="7" t="s">
        <v>629</v>
      </c>
      <c r="B9" s="7" t="n">
        <f aca="false">COUNTA('Unit decisions'!A5:A100)</f>
        <v>36</v>
      </c>
      <c r="C9" s="7" t="s">
        <v>471</v>
      </c>
      <c r="D9" s="7" t="s">
        <v>628</v>
      </c>
    </row>
    <row r="10" customFormat="false" ht="35.05" hidden="false" customHeight="false" outlineLevel="0" collapsed="false">
      <c r="A10" s="7" t="s">
        <v>630</v>
      </c>
      <c r="B10" s="7" t="n">
        <v>12</v>
      </c>
      <c r="C10" s="7" t="s">
        <v>631</v>
      </c>
      <c r="D10" s="7" t="s">
        <v>632</v>
      </c>
    </row>
    <row r="11" customFormat="false" ht="15" hidden="false" customHeight="false" outlineLevel="0" collapsed="false">
      <c r="A11" s="7" t="s">
        <v>633</v>
      </c>
      <c r="B11" s="7" t="n">
        <v>0</v>
      </c>
      <c r="C11" s="7" t="s">
        <v>634</v>
      </c>
      <c r="D11" s="7" t="s">
        <v>635</v>
      </c>
    </row>
    <row r="12" customFormat="false" ht="23.85" hidden="false" customHeight="false" outlineLevel="0" collapsed="false">
      <c r="A12" s="7" t="s">
        <v>636</v>
      </c>
      <c r="B12" s="7" t="n">
        <v>8</v>
      </c>
      <c r="C12" s="7" t="s">
        <v>637</v>
      </c>
      <c r="D12" s="7" t="s">
        <v>638</v>
      </c>
    </row>
    <row r="13" customFormat="false" ht="15" hidden="false" customHeight="false" outlineLevel="0" collapsed="false">
      <c r="A13" s="7" t="s">
        <v>639</v>
      </c>
      <c r="B13" s="7" t="n">
        <v>5</v>
      </c>
      <c r="C13" s="7" t="s">
        <v>479</v>
      </c>
      <c r="D13" s="7" t="s">
        <v>640</v>
      </c>
    </row>
    <row r="14" customFormat="false" ht="15" hidden="false" customHeight="false" outlineLevel="0" collapsed="false">
      <c r="A14" s="7" t="s">
        <v>641</v>
      </c>
      <c r="B14" s="7" t="s">
        <v>642</v>
      </c>
      <c r="C14" s="7" t="s">
        <v>643</v>
      </c>
      <c r="D14" s="7" t="s">
        <v>644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70"/>
    <col collapsed="false" customWidth="true" hidden="false" outlineLevel="0" max="3" min="3" style="0" width="60"/>
  </cols>
  <sheetData>
    <row r="1" customFormat="false" ht="17.35" hidden="false" customHeight="false" outlineLevel="0" collapsed="false">
      <c r="A1" s="1" t="s">
        <v>645</v>
      </c>
      <c r="B1" s="2"/>
      <c r="C1" s="2"/>
    </row>
    <row r="2" customFormat="false" ht="15" hidden="false" customHeight="false" outlineLevel="0" collapsed="false">
      <c r="A2" s="2"/>
      <c r="B2" s="2"/>
      <c r="C2" s="2"/>
    </row>
    <row r="3" customFormat="false" ht="15" hidden="false" customHeight="false" outlineLevel="0" collapsed="false">
      <c r="A3" s="6" t="s">
        <v>646</v>
      </c>
      <c r="B3" s="6" t="s">
        <v>647</v>
      </c>
      <c r="C3" s="6" t="s">
        <v>648</v>
      </c>
    </row>
    <row r="4" customFormat="false" ht="23.85" hidden="false" customHeight="false" outlineLevel="0" collapsed="false">
      <c r="A4" s="7" t="s">
        <v>649</v>
      </c>
      <c r="B4" s="7" t="s">
        <v>650</v>
      </c>
      <c r="C4" s="7" t="s">
        <v>651</v>
      </c>
    </row>
    <row r="5" customFormat="false" ht="35.05" hidden="false" customHeight="false" outlineLevel="0" collapsed="false">
      <c r="A5" s="7" t="s">
        <v>652</v>
      </c>
      <c r="B5" s="7" t="s">
        <v>653</v>
      </c>
      <c r="C5" s="7" t="s">
        <v>654</v>
      </c>
    </row>
    <row r="6" customFormat="false" ht="68.65" hidden="false" customHeight="false" outlineLevel="0" collapsed="false">
      <c r="A6" s="7" t="s">
        <v>655</v>
      </c>
      <c r="B6" s="7" t="s">
        <v>656</v>
      </c>
      <c r="C6" s="7" t="s">
        <v>657</v>
      </c>
    </row>
    <row r="7" customFormat="false" ht="46.25" hidden="false" customHeight="false" outlineLevel="0" collapsed="false">
      <c r="A7" s="7" t="s">
        <v>658</v>
      </c>
      <c r="B7" s="7" t="s">
        <v>659</v>
      </c>
      <c r="C7" s="7" t="s">
        <v>660</v>
      </c>
    </row>
    <row r="8" customFormat="false" ht="35.05" hidden="false" customHeight="false" outlineLevel="0" collapsed="false">
      <c r="A8" s="7" t="s">
        <v>661</v>
      </c>
      <c r="B8" s="7" t="s">
        <v>662</v>
      </c>
      <c r="C8" s="7" t="s">
        <v>663</v>
      </c>
    </row>
    <row r="9" customFormat="false" ht="23.85" hidden="false" customHeight="false" outlineLevel="0" collapsed="false">
      <c r="A9" s="7" t="s">
        <v>664</v>
      </c>
      <c r="B9" s="7" t="s">
        <v>665</v>
      </c>
      <c r="C9" s="7" t="s">
        <v>666</v>
      </c>
    </row>
    <row r="10" customFormat="false" ht="35.05" hidden="false" customHeight="false" outlineLevel="0" collapsed="false">
      <c r="A10" s="7" t="s">
        <v>667</v>
      </c>
      <c r="B10" s="7" t="s">
        <v>668</v>
      </c>
      <c r="C10" s="7" t="s">
        <v>669</v>
      </c>
    </row>
    <row r="11" customFormat="false" ht="15" hidden="false" customHeight="false" outlineLevel="0" collapsed="false">
      <c r="A11" s="7" t="s">
        <v>670</v>
      </c>
      <c r="B11" s="7" t="s">
        <v>671</v>
      </c>
      <c r="C11" s="7" t="s">
        <v>672</v>
      </c>
    </row>
    <row r="12" customFormat="false" ht="57.45" hidden="false" customHeight="false" outlineLevel="0" collapsed="false">
      <c r="A12" s="7" t="s">
        <v>673</v>
      </c>
      <c r="B12" s="7" t="s">
        <v>674</v>
      </c>
      <c r="C12" s="7" t="s">
        <v>675</v>
      </c>
    </row>
    <row r="13" customFormat="false" ht="15" hidden="false" customHeight="false" outlineLevel="0" collapsed="false">
      <c r="A13" s="7" t="s">
        <v>676</v>
      </c>
      <c r="B13" s="7" t="s">
        <v>677</v>
      </c>
      <c r="C13" s="7" t="s">
        <v>678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2026-10-16T09:50:02Z</dcterms:created>
  <dc:creator>openpyxl</dc:creator>
  <dc:description/>
  <dc:language>en-US</dc:language>
  <cp:lastModifiedBy/>
  <dcterms:modified xsi:type="dcterms:W3CDTF">2026-10-16T09:50:02Z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