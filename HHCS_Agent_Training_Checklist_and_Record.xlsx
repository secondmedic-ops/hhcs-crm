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list" sheetId="1" state="visible" r:id="rId3"/>
    <sheet name="Roster" sheetId="2" state="visible" r:id="rId4"/>
    <sheet name="Reco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<sst xmlns="http://schemas.openxmlformats.org/spreadsheetml/2006/main" count="95" uniqueCount="85">
  <si>
    <t xml:space="preserve">Agent training checklist (HHCS CareDesk)</t>
  </si>
  <si>
    <t xml:space="preserve">A module is complete only when each agent has attended it and passed its competency check on the Record sheet. Scripts existing is not completion.</t>
  </si>
  <si>
    <t xml:space="preserve">#</t>
  </si>
  <si>
    <t xml:space="preserve">Module</t>
  </si>
  <si>
    <t xml:space="preserve">Content and source</t>
  </si>
  <si>
    <t xml:space="preserve">Competency check</t>
  </si>
  <si>
    <t xml:space="preserve">Prerequisite</t>
  </si>
  <si>
    <t xml:space="preserve">Agents trained</t>
  </si>
  <si>
    <t xml:space="preserve">Agents passed</t>
  </si>
  <si>
    <t xml:space="preserve">Module status</t>
  </si>
  <si>
    <t xml:space="preserve">Login, roles and data protection</t>
  </si>
  <si>
    <t xml:space="preserve">TOTP sign-in, idle sign-out, masked numbers, what agents may not see (costs, recordings beyond own). DPDP: no patient details in notes outside the case.</t>
  </si>
  <si>
    <t xml:space="preserve">Supervisor observes sign-in; 3-question check on what may not be shared.</t>
  </si>
  <si>
    <t xml:space="preserve">Login created</t>
  </si>
  <si>
    <t xml:space="preserve">Inbound opening and consent (S-01)</t>
  </si>
  <si>
    <t xml:space="preserve">S-01 including the recording consent and the S-09 hand-off.</t>
  </si>
  <si>
    <t xml:space="preserve">Role-play: consent asked and a clear yes recorded; emergency cue routed to S-09.</t>
  </si>
  <si>
    <t xml:space="preserve">Script approver recorded</t>
  </si>
  <si>
    <t xml:space="preserve">Emergency at home (S-09)</t>
  </si>
  <si>
    <t xml:space="preserve">S-09; one-click emergency escalation.</t>
  </si>
  <si>
    <t xml:space="preserve">Role-play with chest-pain cue: 108 advised, escalation raised, no clinical advice.</t>
  </si>
  <si>
    <t xml:space="preserve">Hinduja clinical sign-off</t>
  </si>
  <si>
    <t xml:space="preserve">Requirement capture (S-04) and enquiry form</t>
  </si>
  <si>
    <t xml:space="preserve">S-04; Agent console enquiry fields: discharge date, service start, preferred slot, nursing day / night shift, referral source.</t>
  </si>
  <si>
    <t xml:space="preserve">Observed live or recorded call: all S-04 fields captured and read back.</t>
  </si>
  <si>
    <t xml:space="preserve">None</t>
  </si>
  <si>
    <t xml:space="preserve">Dispositions and callback outcomes</t>
  </si>
  <si>
    <t xml:space="preserve">8 intake dispositions (Knowledge page guide); callback outcomes Resolved / Follow-up needed / Wrong number / No longer needed; unreachable rules.</t>
  </si>
  <si>
    <t xml:space="preserve">Quiz: correct disposition for 8 scenarios; correct outcome for 4 callback scenarios.</t>
  </si>
  <si>
    <t xml:space="preserve">S-03 correction approved</t>
  </si>
  <si>
    <t xml:space="preserve">Callbacks (S-03) and quote follow-up (S-08)</t>
  </si>
  <si>
    <t xml:space="preserve">S-03; Callbacks page; proposed S-08.</t>
  </si>
  <si>
    <t xml:space="preserve">Role-play: missed-call callback closed with the right outcome.</t>
  </si>
  <si>
    <t xml:space="preserve">S-03 fix and S-08 approved</t>
  </si>
  <si>
    <t xml:space="preserve">Diagnostics at home (S-05)</t>
  </si>
  <si>
    <t xml:space="preserve">S-05; lab, ECG, X-ray rate-card items and preparation notes.</t>
  </si>
  <si>
    <t xml:space="preserve">Quote 3 diagnostic requests correctly from the rate card, including fasting advice.</t>
  </si>
  <si>
    <t xml:space="preserve">X-ray overlap decided</t>
  </si>
  <si>
    <t xml:space="preserve">Pricing and budget (S-06, S-02)</t>
  </si>
  <si>
    <t xml:space="preserve">Itemised quote from the locked rate card, discount approval path, "quote after assessment" for unpriced items.</t>
  </si>
  <si>
    <t xml:space="preserve">Role-play: itemised quote; no discount promised; unpriced item handled as quote after assessment.</t>
  </si>
  <si>
    <t xml:space="preserve">Approved price list imported and active</t>
  </si>
  <si>
    <t xml:space="preserve">Product knowledge by service</t>
  </si>
  <si>
    <t xml:space="preserve">Product knowledge page: summary, questions, includes / excludes, preparation, FAQs per service.</t>
  </si>
  <si>
    <t xml:space="preserve">Answer 10 FAQ questions from the panel without inventing content.</t>
  </si>
  <si>
    <t xml:space="preserve">Service notes approved and imported</t>
  </si>
  <si>
    <t xml:space="preserve">Closing (S-07)</t>
  </si>
  <si>
    <t xml:space="preserve">S-07; case number, next steps, helpline.</t>
  </si>
  <si>
    <t xml:space="preserve">Observed call: summary, next steps and disposition set.</t>
  </si>
  <si>
    <t xml:space="preserve">Module status is "Complete" only when the number of agents who passed equals the roster size. Example rows on Record and Roster are excluded (they start with EXAMPLE).</t>
  </si>
  <si>
    <t xml:space="preserve">Operations owner sign-off</t>
  </si>
  <si>
    <t xml:space="preserve">Name / date / signature</t>
  </si>
  <si>
    <t xml:space="preserve">Agent roster</t>
  </si>
  <si>
    <t xml:space="preserve">Legend: fill rows from row 7. Row 6 is an example and is not counted.</t>
  </si>
  <si>
    <t xml:space="preserve">Agent name</t>
  </si>
  <si>
    <t xml:space="preserve">Agent code</t>
  </si>
  <si>
    <t xml:space="preserve">Role</t>
  </si>
  <si>
    <t xml:space="preserve">Branch</t>
  </si>
  <si>
    <t xml:space="preserve">Start date</t>
  </si>
  <si>
    <t xml:space="preserve">Notes</t>
  </si>
  <si>
    <t xml:space="preserve">EXAMPLE A. Agent</t>
  </si>
  <si>
    <t xml:space="preserve">AG-00</t>
  </si>
  <si>
    <t xml:space="preserve">agent</t>
  </si>
  <si>
    <t xml:space="preserve">Khar</t>
  </si>
  <si>
    <t xml:space="preserve">2026-10-20</t>
  </si>
  <si>
    <t xml:space="preserve">Example row, not counted</t>
  </si>
  <si>
    <t xml:space="preserve">Attendance and competency record</t>
  </si>
  <si>
    <t xml:space="preserve">Legend: one row per agent per module. Yellow cells are filled by the trainer / assessor from row 7. Row 6 is an example and is not counted. Result is computed.</t>
  </si>
  <si>
    <t xml:space="preserve">Pass mark (%)</t>
  </si>
  <si>
    <t xml:space="preserve">Set by the operations owner; 80 is a placeholder until agreed.</t>
  </si>
  <si>
    <t xml:space="preserve">Session date</t>
  </si>
  <si>
    <t xml:space="preserve">Trainer</t>
  </si>
  <si>
    <t xml:space="preserve">Attended</t>
  </si>
  <si>
    <t xml:space="preserve">Check method</t>
  </si>
  <si>
    <t xml:space="preserve">Score (%)</t>
  </si>
  <si>
    <t xml:space="preserve">Assessor</t>
  </si>
  <si>
    <t xml:space="preserve">Evidence (call ID / quiz file)</t>
  </si>
  <si>
    <t xml:space="preserve">Result</t>
  </si>
  <si>
    <t xml:space="preserve">Retrain by</t>
  </si>
  <si>
    <t xml:space="preserve">Trainer name</t>
  </si>
  <si>
    <t xml:space="preserve">Yes</t>
  </si>
  <si>
    <t xml:space="preserve">Role-play</t>
  </si>
  <si>
    <t xml:space="preserve">Assessor name</t>
  </si>
  <si>
    <t xml:space="preserve">Call HHC-0000</t>
  </si>
  <si>
    <t xml:space="preserve">EXAMPLE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</si>
</sst>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60"/>
    <col collapsed="false" customWidth="true" hidden="false" outlineLevel="0" max="4" min="4" style="0" width="50"/>
    <col collapsed="false" customWidth="true" hidden="false" outlineLevel="0" max="5" min="5" style="0" width="36"/>
    <col collapsed="false" customWidth="true" hidden="false" outlineLevel="0" max="7" min="6" style="0" width="10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23.8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35.05" hidden="false" customHeight="false" outlineLevel="0" collapsed="false">
      <c r="A5" s="5" t="n">
        <v>1</v>
      </c>
      <c r="B5" s="5" t="s">
        <v>10</v>
      </c>
      <c r="C5" s="5" t="s">
        <v>11</v>
      </c>
      <c r="D5" s="5" t="s">
        <v>12</v>
      </c>
      <c r="E5" s="5" t="s">
        <v>13</v>
      </c>
      <c r="F5" s="5" t="n">
        <f aca="false">COUNTIFS(Record!$D$7:$D$500,B5,Record!$F$7:$F$500,"Yes")</f>
        <v>0</v>
      </c>
      <c r="G5" s="5" t="n">
        <f aca="false">COUNTIFS(Record!$D$7:$D$500,B5,Record!$K$7:$K$500,"Pass")</f>
        <v>0</v>
      </c>
      <c r="H5" s="5" t="str">
        <f aca="false">IF(COUNTA(Roster!$A$7:$A$500)=0,"Not started",IF(G5&gt;=COUNTA(Roster!$A$7:$A$500),"Complete","In progress"))</f>
        <v>Not started</v>
      </c>
    </row>
    <row r="6" customFormat="false" ht="23.85" hidden="false" customHeight="false" outlineLevel="0" collapsed="false">
      <c r="A6" s="5" t="n">
        <v>2</v>
      </c>
      <c r="B6" s="5" t="s">
        <v>14</v>
      </c>
      <c r="C6" s="5" t="s">
        <v>15</v>
      </c>
      <c r="D6" s="5" t="s">
        <v>16</v>
      </c>
      <c r="E6" s="5" t="s">
        <v>17</v>
      </c>
      <c r="F6" s="5" t="n">
        <f aca="false">COUNTIFS(Record!$D$7:$D$500,B6,Record!$F$7:$F$500,"Yes")</f>
        <v>0</v>
      </c>
      <c r="G6" s="5" t="n">
        <f aca="false">COUNTIFS(Record!$D$7:$D$500,B6,Record!$K$7:$K$500,"Pass")</f>
        <v>0</v>
      </c>
      <c r="H6" s="5" t="str">
        <f aca="false">IF(COUNTA(Roster!$A$7:$A$500)=0,"Not started",IF(G6&gt;=COUNTA(Roster!$A$7:$A$500),"Complete","In progress"))</f>
        <v>Not started</v>
      </c>
    </row>
    <row r="7" customFormat="false" ht="23.85" hidden="false" customHeight="false" outlineLevel="0" collapsed="false">
      <c r="A7" s="5" t="n">
        <v>3</v>
      </c>
      <c r="B7" s="5" t="s">
        <v>18</v>
      </c>
      <c r="C7" s="5" t="s">
        <v>19</v>
      </c>
      <c r="D7" s="5" t="s">
        <v>20</v>
      </c>
      <c r="E7" s="5" t="s">
        <v>21</v>
      </c>
      <c r="F7" s="5" t="n">
        <f aca="false">COUNTIFS(Record!$D$7:$D$500,B7,Record!$F$7:$F$500,"Yes")</f>
        <v>0</v>
      </c>
      <c r="G7" s="5" t="n">
        <f aca="false">COUNTIFS(Record!$D$7:$D$500,B7,Record!$K$7:$K$500,"Pass")</f>
        <v>0</v>
      </c>
      <c r="H7" s="5" t="str">
        <f aca="false">IF(COUNTA(Roster!$A$7:$A$500)=0,"Not started",IF(G7&gt;=COUNTA(Roster!$A$7:$A$500),"Complete","In progress"))</f>
        <v>Not started</v>
      </c>
    </row>
    <row r="8" customFormat="false" ht="23.85" hidden="false" customHeight="false" outlineLevel="0" collapsed="false">
      <c r="A8" s="5" t="n">
        <v>4</v>
      </c>
      <c r="B8" s="5" t="s">
        <v>22</v>
      </c>
      <c r="C8" s="5" t="s">
        <v>23</v>
      </c>
      <c r="D8" s="5" t="s">
        <v>24</v>
      </c>
      <c r="E8" s="5" t="s">
        <v>25</v>
      </c>
      <c r="F8" s="5" t="n">
        <f aca="false">COUNTIFS(Record!$D$7:$D$500,B8,Record!$F$7:$F$500,"Yes")</f>
        <v>0</v>
      </c>
      <c r="G8" s="5" t="n">
        <f aca="false">COUNTIFS(Record!$D$7:$D$500,B8,Record!$K$7:$K$500,"Pass")</f>
        <v>0</v>
      </c>
      <c r="H8" s="5" t="str">
        <f aca="false">IF(COUNTA(Roster!$A$7:$A$500)=0,"Not started",IF(G8&gt;=COUNTA(Roster!$A$7:$A$500),"Complete","In progress"))</f>
        <v>Not started</v>
      </c>
    </row>
    <row r="9" customFormat="false" ht="35.05" hidden="false" customHeight="false" outlineLevel="0" collapsed="false">
      <c r="A9" s="5" t="n">
        <v>5</v>
      </c>
      <c r="B9" s="5" t="s">
        <v>26</v>
      </c>
      <c r="C9" s="5" t="s">
        <v>27</v>
      </c>
      <c r="D9" s="5" t="s">
        <v>28</v>
      </c>
      <c r="E9" s="5" t="s">
        <v>29</v>
      </c>
      <c r="F9" s="5" t="n">
        <f aca="false">COUNTIFS(Record!$D$7:$D$500,B9,Record!$F$7:$F$500,"Yes")</f>
        <v>0</v>
      </c>
      <c r="G9" s="5" t="n">
        <f aca="false">COUNTIFS(Record!$D$7:$D$500,B9,Record!$K$7:$K$500,"Pass")</f>
        <v>0</v>
      </c>
      <c r="H9" s="5" t="str">
        <f aca="false">IF(COUNTA(Roster!$A$7:$A$500)=0,"Not started",IF(G9&gt;=COUNTA(Roster!$A$7:$A$500),"Complete","In progress"))</f>
        <v>Not started</v>
      </c>
    </row>
    <row r="10" customFormat="false" ht="23.85" hidden="false" customHeight="false" outlineLevel="0" collapsed="false">
      <c r="A10" s="5" t="n">
        <v>6</v>
      </c>
      <c r="B10" s="5" t="s">
        <v>30</v>
      </c>
      <c r="C10" s="5" t="s">
        <v>31</v>
      </c>
      <c r="D10" s="5" t="s">
        <v>32</v>
      </c>
      <c r="E10" s="5" t="s">
        <v>33</v>
      </c>
      <c r="F10" s="5" t="n">
        <f aca="false">COUNTIFS(Record!$D$7:$D$500,B10,Record!$F$7:$F$500,"Yes")</f>
        <v>0</v>
      </c>
      <c r="G10" s="5" t="n">
        <f aca="false">COUNTIFS(Record!$D$7:$D$500,B10,Record!$K$7:$K$500,"Pass")</f>
        <v>0</v>
      </c>
      <c r="H10" s="5" t="str">
        <f aca="false">IF(COUNTA(Roster!$A$7:$A$500)=0,"Not started",IF(G10&gt;=COUNTA(Roster!$A$7:$A$500),"Complete","In progress"))</f>
        <v>Not started</v>
      </c>
    </row>
    <row r="11" customFormat="false" ht="23.85" hidden="false" customHeight="false" outlineLevel="0" collapsed="false">
      <c r="A11" s="5" t="n">
        <v>7</v>
      </c>
      <c r="B11" s="5" t="s">
        <v>34</v>
      </c>
      <c r="C11" s="5" t="s">
        <v>35</v>
      </c>
      <c r="D11" s="5" t="s">
        <v>36</v>
      </c>
      <c r="E11" s="5" t="s">
        <v>37</v>
      </c>
      <c r="F11" s="5" t="n">
        <f aca="false">COUNTIFS(Record!$D$7:$D$500,B11,Record!$F$7:$F$500,"Yes")</f>
        <v>0</v>
      </c>
      <c r="G11" s="5" t="n">
        <f aca="false">COUNTIFS(Record!$D$7:$D$500,B11,Record!$K$7:$K$500,"Pass")</f>
        <v>0</v>
      </c>
      <c r="H11" s="5" t="str">
        <f aca="false">IF(COUNTA(Roster!$A$7:$A$500)=0,"Not started",IF(G11&gt;=COUNTA(Roster!$A$7:$A$500),"Complete","In progress"))</f>
        <v>Not started</v>
      </c>
    </row>
    <row r="12" customFormat="false" ht="23.85" hidden="false" customHeight="false" outlineLevel="0" collapsed="false">
      <c r="A12" s="5" t="n">
        <v>8</v>
      </c>
      <c r="B12" s="5" t="s">
        <v>38</v>
      </c>
      <c r="C12" s="5" t="s">
        <v>39</v>
      </c>
      <c r="D12" s="5" t="s">
        <v>40</v>
      </c>
      <c r="E12" s="5" t="s">
        <v>41</v>
      </c>
      <c r="F12" s="5" t="n">
        <f aca="false">COUNTIFS(Record!$D$7:$D$500,B12,Record!$F$7:$F$500,"Yes")</f>
        <v>0</v>
      </c>
      <c r="G12" s="5" t="n">
        <f aca="false">COUNTIFS(Record!$D$7:$D$500,B12,Record!$K$7:$K$500,"Pass")</f>
        <v>0</v>
      </c>
      <c r="H12" s="5" t="str">
        <f aca="false">IF(COUNTA(Roster!$A$7:$A$500)=0,"Not started",IF(G12&gt;=COUNTA(Roster!$A$7:$A$500),"Complete","In progress"))</f>
        <v>Not started</v>
      </c>
    </row>
    <row r="13" customFormat="false" ht="23.85" hidden="false" customHeight="false" outlineLevel="0" collapsed="false">
      <c r="A13" s="5" t="n">
        <v>9</v>
      </c>
      <c r="B13" s="5" t="s">
        <v>42</v>
      </c>
      <c r="C13" s="5" t="s">
        <v>43</v>
      </c>
      <c r="D13" s="5" t="s">
        <v>44</v>
      </c>
      <c r="E13" s="5" t="s">
        <v>45</v>
      </c>
      <c r="F13" s="5" t="n">
        <f aca="false">COUNTIFS(Record!$D$7:$D$500,B13,Record!$F$7:$F$500,"Yes")</f>
        <v>0</v>
      </c>
      <c r="G13" s="5" t="n">
        <f aca="false">COUNTIFS(Record!$D$7:$D$500,B13,Record!$K$7:$K$500,"Pass")</f>
        <v>0</v>
      </c>
      <c r="H13" s="5" t="str">
        <f aca="false">IF(COUNTA(Roster!$A$7:$A$500)=0,"Not started",IF(G13&gt;=COUNTA(Roster!$A$7:$A$500),"Complete","In progress"))</f>
        <v>Not started</v>
      </c>
    </row>
    <row r="14" customFormat="false" ht="15" hidden="false" customHeight="false" outlineLevel="0" collapsed="false">
      <c r="A14" s="5" t="n">
        <v>10</v>
      </c>
      <c r="B14" s="5" t="s">
        <v>46</v>
      </c>
      <c r="C14" s="5" t="s">
        <v>47</v>
      </c>
      <c r="D14" s="5" t="s">
        <v>48</v>
      </c>
      <c r="E14" s="5" t="s">
        <v>25</v>
      </c>
      <c r="F14" s="5" t="n">
        <f aca="false">COUNTIFS(Record!$D$7:$D$500,B14,Record!$F$7:$F$500,"Yes")</f>
        <v>0</v>
      </c>
      <c r="G14" s="5" t="n">
        <f aca="false">COUNTIFS(Record!$D$7:$D$500,B14,Record!$K$7:$K$500,"Pass")</f>
        <v>0</v>
      </c>
      <c r="H14" s="5" t="str">
        <f aca="false">IF(COUNTA(Roster!$A$7:$A$500)=0,"Not started",IF(G14&gt;=COUNTA(Roster!$A$7:$A$500),"Complete","In progress"))</f>
        <v>Not started</v>
      </c>
    </row>
    <row r="15" customFormat="false" ht="15" hidden="false" customHeight="false" outlineLevel="0" collapsed="false">
      <c r="A15" s="2"/>
      <c r="B15" s="2"/>
      <c r="C15" s="2"/>
      <c r="D15" s="2"/>
      <c r="E15" s="2"/>
      <c r="F15" s="2"/>
      <c r="G15" s="2"/>
      <c r="H15" s="2"/>
    </row>
    <row r="16" customFormat="false" ht="15" hidden="false" customHeight="false" outlineLevel="0" collapsed="false">
      <c r="A16" s="6" t="s">
        <v>49</v>
      </c>
      <c r="B16" s="2"/>
      <c r="C16" s="2"/>
      <c r="D16" s="2"/>
      <c r="E16" s="2"/>
      <c r="F16" s="2"/>
      <c r="G16" s="2"/>
      <c r="H16" s="2"/>
    </row>
    <row r="17" customFormat="false" ht="15" hidden="false" customHeight="false" outlineLevel="0" collapsed="false">
      <c r="A17" s="5"/>
      <c r="B17" s="5" t="s">
        <v>50</v>
      </c>
      <c r="C17" s="7"/>
      <c r="D17" s="5" t="s">
        <v>51</v>
      </c>
      <c r="E17" s="5"/>
      <c r="F17" s="5"/>
      <c r="G17" s="5"/>
      <c r="H1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52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6" t="s">
        <v>53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</row>
    <row r="5" customFormat="false" ht="15" hidden="false" customHeight="false" outlineLevel="0" collapsed="false">
      <c r="A5" s="4" t="s">
        <v>54</v>
      </c>
      <c r="B5" s="4" t="s">
        <v>55</v>
      </c>
      <c r="C5" s="4" t="s">
        <v>56</v>
      </c>
      <c r="D5" s="4" t="s">
        <v>57</v>
      </c>
      <c r="E5" s="4" t="s">
        <v>58</v>
      </c>
      <c r="F5" s="4" t="s">
        <v>59</v>
      </c>
    </row>
    <row r="6" customFormat="false" ht="15" hidden="false" customHeight="false" outlineLevel="0" collapsed="false">
      <c r="A6" s="8" t="s">
        <v>60</v>
      </c>
      <c r="B6" s="8" t="s">
        <v>61</v>
      </c>
      <c r="C6" s="8" t="s">
        <v>62</v>
      </c>
      <c r="D6" s="8" t="s">
        <v>63</v>
      </c>
      <c r="E6" s="8" t="s">
        <v>64</v>
      </c>
      <c r="F6" s="8" t="s">
        <v>65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1"/>
    <col collapsed="false" customWidth="true" hidden="false" outlineLevel="0" max="3" min="3" style="0" width="12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  <col collapsed="false" customWidth="true" hidden="false" outlineLevel="0" max="9" min="9" style="0" width="16"/>
    <col collapsed="false" customWidth="true" hidden="false" outlineLevel="0" max="10" min="10" style="0" width="26"/>
    <col collapsed="false" customWidth="true" hidden="false" outlineLevel="0" max="11" min="11" style="0" width="9"/>
    <col collapsed="false" customWidth="true" hidden="false" outlineLevel="0" max="12" min="12" style="0" width="12"/>
    <col collapsed="false" customWidth="true" hidden="false" outlineLevel="0" max="13" min="13" style="0" width="30"/>
  </cols>
  <sheetData>
    <row r="1" customFormat="false" ht="17.35" hidden="false" customHeight="false" outlineLevel="0" collapsed="false">
      <c r="A1" s="1" t="s">
        <v>66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6" t="s">
        <v>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68</v>
      </c>
      <c r="B3" s="10" t="n">
        <v>80</v>
      </c>
      <c r="C3" s="6" t="s">
        <v>69</v>
      </c>
      <c r="D3" s="2"/>
      <c r="E3" s="2"/>
      <c r="F3" s="2"/>
      <c r="G3" s="2"/>
      <c r="H3" s="2"/>
      <c r="I3" s="2"/>
      <c r="J3" s="2"/>
      <c r="K3" s="2"/>
      <c r="L3" s="2"/>
      <c r="M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customFormat="false" ht="15" hidden="false" customHeight="false" outlineLevel="0" collapsed="false">
      <c r="A5" s="4" t="s">
        <v>54</v>
      </c>
      <c r="B5" s="4" t="s">
        <v>55</v>
      </c>
      <c r="C5" s="4" t="s">
        <v>70</v>
      </c>
      <c r="D5" s="4" t="s">
        <v>3</v>
      </c>
      <c r="E5" s="4" t="s">
        <v>71</v>
      </c>
      <c r="F5" s="4" t="s">
        <v>72</v>
      </c>
      <c r="G5" s="4" t="s">
        <v>73</v>
      </c>
      <c r="H5" s="4" t="s">
        <v>74</v>
      </c>
      <c r="I5" s="4" t="s">
        <v>75</v>
      </c>
      <c r="J5" s="4" t="s">
        <v>76</v>
      </c>
      <c r="K5" s="4" t="s">
        <v>77</v>
      </c>
      <c r="L5" s="4" t="s">
        <v>78</v>
      </c>
      <c r="M5" s="4" t="s">
        <v>59</v>
      </c>
    </row>
    <row r="6" customFormat="false" ht="23.85" hidden="false" customHeight="false" outlineLevel="0" collapsed="false">
      <c r="A6" s="8" t="s">
        <v>60</v>
      </c>
      <c r="B6" s="8" t="s">
        <v>61</v>
      </c>
      <c r="C6" s="8" t="s">
        <v>64</v>
      </c>
      <c r="D6" s="8" t="s">
        <v>14</v>
      </c>
      <c r="E6" s="8" t="s">
        <v>79</v>
      </c>
      <c r="F6" s="8" t="s">
        <v>80</v>
      </c>
      <c r="G6" s="8" t="s">
        <v>81</v>
      </c>
      <c r="H6" s="8" t="n">
        <v>85</v>
      </c>
      <c r="I6" s="8" t="s">
        <v>82</v>
      </c>
      <c r="J6" s="8" t="s">
        <v>83</v>
      </c>
      <c r="K6" s="8" t="s">
        <v>84</v>
      </c>
      <c r="L6" s="8"/>
      <c r="M6" s="8" t="s">
        <v>65</v>
      </c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  <c r="I7" s="9"/>
      <c r="J7" s="9"/>
      <c r="K7" s="6" t="str">
        <f aca="false">IF(OR(F7="",H7=""),"",IF(AND(F7="Yes",H7&gt;=$B$3),"Pass","Not yet"))</f>
        <v/>
      </c>
      <c r="L7" s="9"/>
      <c r="M7" s="9"/>
    </row>
    <row r="8" customFormat="false" ht="15" hidden="false" customHeight="false" outlineLevel="0" collapsed="false">
      <c r="A8" s="9"/>
      <c r="B8" s="9"/>
      <c r="C8" s="9"/>
      <c r="D8" s="9"/>
      <c r="E8" s="9"/>
      <c r="F8" s="9"/>
      <c r="G8" s="9"/>
      <c r="H8" s="9"/>
      <c r="I8" s="9"/>
      <c r="J8" s="9"/>
      <c r="K8" s="6" t="str">
        <f aca="false">IF(OR(F8="",H8=""),"",IF(AND(F8="Yes",H8&gt;=$B$3),"Pass","Not yet"))</f>
        <v/>
      </c>
      <c r="L8" s="9"/>
      <c r="M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  <c r="K9" s="6" t="str">
        <f aca="false">IF(OR(F9="",H9=""),"",IF(AND(F9="Yes",H9&gt;=$B$3),"Pass","Not yet"))</f>
        <v/>
      </c>
      <c r="L9" s="9"/>
      <c r="M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  <c r="K10" s="6" t="str">
        <f aca="false">IF(OR(F10="",H10=""),"",IF(AND(F10="Yes",H10&gt;=$B$3),"Pass","Not yet"))</f>
        <v/>
      </c>
      <c r="L10" s="9"/>
      <c r="M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  <c r="K11" s="6" t="str">
        <f aca="false">IF(OR(F11="",H11=""),"",IF(AND(F11="Yes",H11&gt;=$B$3),"Pass","Not yet"))</f>
        <v/>
      </c>
      <c r="L11" s="9"/>
      <c r="M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  <c r="K12" s="6" t="str">
        <f aca="false">IF(OR(F12="",H12=""),"",IF(AND(F12="Yes",H12&gt;=$B$3),"Pass","Not yet"))</f>
        <v/>
      </c>
      <c r="L12" s="9"/>
      <c r="M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  <c r="K13" s="6" t="str">
        <f aca="false">IF(OR(F13="",H13=""),"",IF(AND(F13="Yes",H13&gt;=$B$3),"Pass","Not yet"))</f>
        <v/>
      </c>
      <c r="L13" s="9"/>
      <c r="M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  <c r="K14" s="6" t="str">
        <f aca="false">IF(OR(F14="",H14=""),"",IF(AND(F14="Yes",H14&gt;=$B$3),"Pass","Not yet"))</f>
        <v/>
      </c>
      <c r="L14" s="9"/>
      <c r="M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  <c r="K15" s="6" t="str">
        <f aca="false">IF(OR(F15="",H15=""),"",IF(AND(F15="Yes",H15&gt;=$B$3),"Pass","Not yet"))</f>
        <v/>
      </c>
      <c r="L15" s="9"/>
      <c r="M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  <c r="K16" s="6" t="str">
        <f aca="false">IF(OR(F16="",H16=""),"",IF(AND(F16="Yes",H16&gt;=$B$3),"Pass","Not yet"))</f>
        <v/>
      </c>
      <c r="L16" s="9"/>
      <c r="M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6" t="str">
        <f aca="false">IF(OR(F17="",H17=""),"",IF(AND(F17="Yes",H17&gt;=$B$3),"Pass","Not yet"))</f>
        <v/>
      </c>
      <c r="L17" s="9"/>
      <c r="M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  <c r="K18" s="6" t="str">
        <f aca="false">IF(OR(F18="",H18=""),"",IF(AND(F18="Yes",H18&gt;=$B$3),"Pass","Not yet"))</f>
        <v/>
      </c>
      <c r="L18" s="9"/>
      <c r="M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  <c r="K19" s="6" t="str">
        <f aca="false">IF(OR(F19="",H19=""),"",IF(AND(F19="Yes",H19&gt;=$B$3),"Pass","Not yet"))</f>
        <v/>
      </c>
      <c r="L19" s="9"/>
      <c r="M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  <c r="K20" s="6" t="str">
        <f aca="false">IF(OR(F20="",H20=""),"",IF(AND(F20="Yes",H20&gt;=$B$3),"Pass","Not yet"))</f>
        <v/>
      </c>
      <c r="L20" s="9"/>
      <c r="M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  <c r="K21" s="6" t="str">
        <f aca="false">IF(OR(F21="",H21=""),"",IF(AND(F21="Yes",H21&gt;=$B$3),"Pass","Not yet"))</f>
        <v/>
      </c>
      <c r="L21" s="9"/>
      <c r="M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  <c r="K22" s="6" t="str">
        <f aca="false">IF(OR(F22="",H22=""),"",IF(AND(F22="Yes",H22&gt;=$B$3),"Pass","Not yet"))</f>
        <v/>
      </c>
      <c r="L22" s="9"/>
      <c r="M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  <c r="K23" s="6" t="str">
        <f aca="false">IF(OR(F23="",H23=""),"",IF(AND(F23="Yes",H23&gt;=$B$3),"Pass","Not yet"))</f>
        <v/>
      </c>
      <c r="L23" s="9"/>
      <c r="M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  <c r="K24" s="6" t="str">
        <f aca="false">IF(OR(F24="",H24=""),"",IF(AND(F24="Yes",H24&gt;=$B$3),"Pass","Not yet"))</f>
        <v/>
      </c>
      <c r="L24" s="9"/>
      <c r="M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  <c r="K25" s="6" t="str">
        <f aca="false">IF(OR(F25="",H25=""),"",IF(AND(F25="Yes",H25&gt;=$B$3),"Pass","Not yet"))</f>
        <v/>
      </c>
      <c r="L25" s="9"/>
      <c r="M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  <c r="K26" s="6" t="str">
        <f aca="false">IF(OR(F26="",H26=""),"",IF(AND(F26="Yes",H26&gt;=$B$3),"Pass","Not yet"))</f>
        <v/>
      </c>
      <c r="L26" s="9"/>
      <c r="M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  <c r="K27" s="6" t="str">
        <f aca="false">IF(OR(F27="",H27=""),"",IF(AND(F27="Yes",H27&gt;=$B$3),"Pass","Not yet"))</f>
        <v/>
      </c>
      <c r="L27" s="9"/>
      <c r="M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  <c r="K28" s="6" t="str">
        <f aca="false">IF(OR(F28="",H28=""),"",IF(AND(F28="Yes",H28&gt;=$B$3),"Pass","Not yet"))</f>
        <v/>
      </c>
      <c r="L28" s="9"/>
      <c r="M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  <c r="K29" s="6" t="str">
        <f aca="false">IF(OR(F29="",H29=""),"",IF(AND(F29="Yes",H29&gt;=$B$3),"Pass","Not yet"))</f>
        <v/>
      </c>
      <c r="L29" s="9"/>
      <c r="M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  <c r="K30" s="6" t="str">
        <f aca="false">IF(OR(F30="",H30=""),"",IF(AND(F30="Yes",H30&gt;=$B$3),"Pass","Not yet"))</f>
        <v/>
      </c>
      <c r="L30" s="9"/>
      <c r="M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  <c r="K31" s="6" t="str">
        <f aca="false">IF(OR(F31="",H31=""),"",IF(AND(F31="Yes",H31&gt;=$B$3),"Pass","Not yet"))</f>
        <v/>
      </c>
      <c r="L31" s="9"/>
      <c r="M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  <c r="K32" s="6" t="str">
        <f aca="false">IF(OR(F32="",H32=""),"",IF(AND(F32="Yes",H32&gt;=$B$3),"Pass","Not yet"))</f>
        <v/>
      </c>
      <c r="L32" s="9"/>
      <c r="M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  <c r="K33" s="6" t="str">
        <f aca="false">IF(OR(F33="",H33=""),"",IF(AND(F33="Yes",H33&gt;=$B$3),"Pass","Not yet"))</f>
        <v/>
      </c>
      <c r="L33" s="9"/>
      <c r="M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  <c r="K34" s="6" t="str">
        <f aca="false">IF(OR(F34="",H34=""),"",IF(AND(F34="Yes",H34&gt;=$B$3),"Pass","Not yet"))</f>
        <v/>
      </c>
      <c r="L34" s="9"/>
      <c r="M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  <c r="K35" s="6" t="str">
        <f aca="false">IF(OR(F35="",H35=""),"",IF(AND(F35="Yes",H35&gt;=$B$3),"Pass","Not yet"))</f>
        <v/>
      </c>
      <c r="L35" s="9"/>
      <c r="M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  <c r="K36" s="6" t="str">
        <f aca="false">IF(OR(F36="",H36=""),"",IF(AND(F36="Yes",H36&gt;=$B$3),"Pass","Not yet"))</f>
        <v/>
      </c>
      <c r="L36" s="9"/>
      <c r="M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  <c r="K37" s="6" t="str">
        <f aca="false">IF(OR(F37="",H37=""),"",IF(AND(F37="Yes",H37&gt;=$B$3),"Pass","Not yet"))</f>
        <v/>
      </c>
      <c r="L37" s="9"/>
      <c r="M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  <c r="K38" s="6" t="str">
        <f aca="false">IF(OR(F38="",H38=""),"",IF(AND(F38="Yes",H38&gt;=$B$3),"Pass","Not yet"))</f>
        <v/>
      </c>
      <c r="L38" s="9"/>
      <c r="M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  <c r="K39" s="6" t="str">
        <f aca="false">IF(OR(F39="",H39=""),"",IF(AND(F39="Yes",H39&gt;=$B$3),"Pass","Not yet"))</f>
        <v/>
      </c>
      <c r="L39" s="9"/>
      <c r="M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  <c r="K40" s="6" t="str">
        <f aca="false">IF(OR(F40="",H40=""),"",IF(AND(F40="Yes",H40&gt;=$B$3),"Pass","Not yet"))</f>
        <v/>
      </c>
      <c r="L40" s="9"/>
      <c r="M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  <c r="K41" s="6" t="str">
        <f aca="false">IF(OR(F41="",H41=""),"",IF(AND(F41="Yes",H41&gt;=$B$3),"Pass","Not yet"))</f>
        <v/>
      </c>
      <c r="L41" s="9"/>
      <c r="M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  <c r="K42" s="6" t="str">
        <f aca="false">IF(OR(F42="",H42=""),"",IF(AND(F42="Yes",H42&gt;=$B$3),"Pass","Not yet"))</f>
        <v/>
      </c>
      <c r="L42" s="9"/>
      <c r="M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  <c r="K43" s="6" t="str">
        <f aca="false">IF(OR(F43="",H43=""),"",IF(AND(F43="Yes",H43&gt;=$B$3),"Pass","Not yet"))</f>
        <v/>
      </c>
      <c r="L43" s="9"/>
      <c r="M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  <c r="K44" s="6" t="str">
        <f aca="false">IF(OR(F44="",H44=""),"",IF(AND(F44="Yes",H44&gt;=$B$3),"Pass","Not yet"))</f>
        <v/>
      </c>
      <c r="L44" s="9"/>
      <c r="M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  <c r="K45" s="6" t="str">
        <f aca="false">IF(OR(F45="",H45=""),"",IF(AND(F45="Yes",H45&gt;=$B$3),"Pass","Not yet"))</f>
        <v/>
      </c>
      <c r="L45" s="9"/>
      <c r="M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  <c r="K46" s="6" t="str">
        <f aca="false">IF(OR(F46="",H46=""),"",IF(AND(F46="Yes",H46&gt;=$B$3),"Pass","Not yet"))</f>
        <v/>
      </c>
      <c r="L46" s="9"/>
      <c r="M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6" t="str">
        <f aca="false">IF(OR(F47="",H47=""),"",IF(AND(F47="Yes",H47&gt;=$B$3),"Pass","Not yet"))</f>
        <v/>
      </c>
      <c r="L47" s="9"/>
      <c r="M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6" t="str">
        <f aca="false">IF(OR(F48="",H48=""),"",IF(AND(F48="Yes",H48&gt;=$B$3),"Pass","Not yet"))</f>
        <v/>
      </c>
      <c r="L48" s="9"/>
      <c r="M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  <c r="K49" s="6" t="str">
        <f aca="false">IF(OR(F49="",H49=""),"",IF(AND(F49="Yes",H49&gt;=$B$3),"Pass","Not yet"))</f>
        <v/>
      </c>
      <c r="L49" s="9"/>
      <c r="M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  <c r="K50" s="6" t="str">
        <f aca="false">IF(OR(F50="",H50=""),"",IF(AND(F50="Yes",H50&gt;=$B$3),"Pass","Not yet"))</f>
        <v/>
      </c>
      <c r="L50" s="9"/>
      <c r="M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  <c r="K51" s="6" t="str">
        <f aca="false">IF(OR(F51="",H51=""),"",IF(AND(F51="Yes",H51&gt;=$B$3),"Pass","Not yet"))</f>
        <v/>
      </c>
      <c r="L51" s="9"/>
      <c r="M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  <c r="K52" s="6" t="str">
        <f aca="false">IF(OR(F52="",H52=""),"",IF(AND(F52="Yes",H52&gt;=$B$3),"Pass","Not yet"))</f>
        <v/>
      </c>
      <c r="L52" s="9"/>
      <c r="M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  <c r="K53" s="6" t="str">
        <f aca="false">IF(OR(F53="",H53=""),"",IF(AND(F53="Yes",H53&gt;=$B$3),"Pass","Not yet"))</f>
        <v/>
      </c>
      <c r="L53" s="9"/>
      <c r="M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  <c r="K54" s="6" t="str">
        <f aca="false">IF(OR(F54="",H54=""),"",IF(AND(F54="Yes",H54&gt;=$B$3),"Pass","Not yet"))</f>
        <v/>
      </c>
      <c r="L54" s="9"/>
      <c r="M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  <c r="K55" s="6" t="str">
        <f aca="false">IF(OR(F55="",H55=""),"",IF(AND(F55="Yes",H55&gt;=$B$3),"Pass","Not yet"))</f>
        <v/>
      </c>
      <c r="L55" s="9"/>
      <c r="M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  <c r="K56" s="6" t="str">
        <f aca="false">IF(OR(F56="",H56=""),"",IF(AND(F56="Yes",H56&gt;=$B$3),"Pass","Not yet"))</f>
        <v/>
      </c>
      <c r="L56" s="9"/>
      <c r="M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  <c r="K57" s="6" t="str">
        <f aca="false">IF(OR(F57="",H57=""),"",IF(AND(F57="Yes",H57&gt;=$B$3),"Pass","Not yet"))</f>
        <v/>
      </c>
      <c r="L57" s="9"/>
      <c r="M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  <c r="K58" s="6" t="str">
        <f aca="false">IF(OR(F58="",H58=""),"",IF(AND(F58="Yes",H58&gt;=$B$3),"Pass","Not yet"))</f>
        <v/>
      </c>
      <c r="L58" s="9"/>
      <c r="M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  <c r="K59" s="6" t="str">
        <f aca="false">IF(OR(F59="",H59=""),"",IF(AND(F59="Yes",H59&gt;=$B$3),"Pass","Not yet"))</f>
        <v/>
      </c>
      <c r="L59" s="9"/>
      <c r="M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  <c r="K60" s="6" t="str">
        <f aca="false">IF(OR(F60="",H60=""),"",IF(AND(F60="Yes",H60&gt;=$B$3),"Pass","Not yet"))</f>
        <v/>
      </c>
      <c r="L60" s="9"/>
      <c r="M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  <c r="K61" s="6" t="str">
        <f aca="false">IF(OR(F61="",H61=""),"",IF(AND(F61="Yes",H61&gt;=$B$3),"Pass","Not yet"))</f>
        <v/>
      </c>
      <c r="L61" s="9"/>
      <c r="M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  <c r="K62" s="6" t="str">
        <f aca="false">IF(OR(F62="",H62=""),"",IF(AND(F62="Yes",H62&gt;=$B$3),"Pass","Not yet"))</f>
        <v/>
      </c>
      <c r="L62" s="9"/>
      <c r="M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  <c r="K63" s="6" t="str">
        <f aca="false">IF(OR(F63="",H63=""),"",IF(AND(F63="Yes",H63&gt;=$B$3),"Pass","Not yet"))</f>
        <v/>
      </c>
      <c r="L63" s="9"/>
      <c r="M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6" t="str">
        <f aca="false">IF(OR(F64="",H64=""),"",IF(AND(F64="Yes",H64&gt;=$B$3),"Pass","Not yet"))</f>
        <v/>
      </c>
      <c r="L64" s="9"/>
      <c r="M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  <c r="K65" s="6" t="str">
        <f aca="false">IF(OR(F65="",H65=""),"",IF(AND(F65="Yes",H65&gt;=$B$3),"Pass","Not yet"))</f>
        <v/>
      </c>
      <c r="L65" s="9"/>
      <c r="M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  <c r="K66" s="6" t="str">
        <f aca="false">IF(OR(F66="",H66=""),"",IF(AND(F66="Yes",H66&gt;=$B$3),"Pass","Not yet"))</f>
        <v/>
      </c>
      <c r="L66" s="9"/>
      <c r="M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  <c r="K67" s="6" t="str">
        <f aca="false">IF(OR(F67="",H67=""),"",IF(AND(F67="Yes",H67&gt;=$B$3),"Pass","Not yet"))</f>
        <v/>
      </c>
      <c r="L67" s="9"/>
      <c r="M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  <c r="K68" s="6" t="str">
        <f aca="false">IF(OR(F68="",H68=""),"",IF(AND(F68="Yes",H68&gt;=$B$3),"Pass","Not yet"))</f>
        <v/>
      </c>
      <c r="L68" s="9"/>
      <c r="M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  <c r="K69" s="6" t="str">
        <f aca="false">IF(OR(F69="",H69=""),"",IF(AND(F69="Yes",H69&gt;=$B$3),"Pass","Not yet"))</f>
        <v/>
      </c>
      <c r="L69" s="9"/>
      <c r="M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  <c r="K70" s="6" t="str">
        <f aca="false">IF(OR(F70="",H70=""),"",IF(AND(F70="Yes",H70&gt;=$B$3),"Pass","Not yet"))</f>
        <v/>
      </c>
      <c r="L70" s="9"/>
      <c r="M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  <c r="K71" s="6" t="str">
        <f aca="false">IF(OR(F71="",H71=""),"",IF(AND(F71="Yes",H71&gt;=$B$3),"Pass","Not yet"))</f>
        <v/>
      </c>
      <c r="L71" s="9"/>
      <c r="M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  <c r="K72" s="6" t="str">
        <f aca="false">IF(OR(F72="",H72=""),"",IF(AND(F72="Yes",H72&gt;=$B$3),"Pass","Not yet"))</f>
        <v/>
      </c>
      <c r="L72" s="9"/>
      <c r="M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  <c r="K73" s="6" t="str">
        <f aca="false">IF(OR(F73="",H73=""),"",IF(AND(F73="Yes",H73&gt;=$B$3),"Pass","Not yet"))</f>
        <v/>
      </c>
      <c r="L73" s="9"/>
      <c r="M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  <c r="K74" s="6" t="str">
        <f aca="false">IF(OR(F74="",H74=""),"",IF(AND(F74="Yes",H74&gt;=$B$3),"Pass","Not yet"))</f>
        <v/>
      </c>
      <c r="L74" s="9"/>
      <c r="M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  <c r="K75" s="6" t="str">
        <f aca="false">IF(OR(F75="",H75=""),"",IF(AND(F75="Yes",H75&gt;=$B$3),"Pass","Not yet"))</f>
        <v/>
      </c>
      <c r="L75" s="9"/>
      <c r="M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  <c r="K76" s="6" t="str">
        <f aca="false">IF(OR(F76="",H76=""),"",IF(AND(F76="Yes",H76&gt;=$B$3),"Pass","Not yet"))</f>
        <v/>
      </c>
      <c r="L76" s="9"/>
      <c r="M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  <c r="K77" s="6" t="str">
        <f aca="false">IF(OR(F77="",H77=""),"",IF(AND(F77="Yes",H77&gt;=$B$3),"Pass","Not yet"))</f>
        <v/>
      </c>
      <c r="L77" s="9"/>
      <c r="M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  <c r="K78" s="6" t="str">
        <f aca="false">IF(OR(F78="",H78=""),"",IF(AND(F78="Yes",H78&gt;=$B$3),"Pass","Not yet"))</f>
        <v/>
      </c>
      <c r="L78" s="9"/>
      <c r="M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  <c r="K79" s="6" t="str">
        <f aca="false">IF(OR(F79="",H79=""),"",IF(AND(F79="Yes",H79&gt;=$B$3),"Pass","Not yet"))</f>
        <v/>
      </c>
      <c r="L79" s="9"/>
      <c r="M79" s="9"/>
    </row>
    <row r="80" customFormat="false" ht="15" hidden="false" customHeight="false" outlineLevel="0" collapsed="false">
      <c r="A80" s="9"/>
      <c r="B80" s="9"/>
      <c r="C80" s="9"/>
      <c r="D80" s="9"/>
      <c r="E80" s="9"/>
      <c r="F80" s="9"/>
      <c r="G80" s="9"/>
      <c r="H80" s="9"/>
      <c r="I80" s="9"/>
      <c r="J80" s="9"/>
      <c r="K80" s="6" t="str">
        <f aca="false">IF(OR(F80="",H80=""),"",IF(AND(F80="Yes",H80&gt;=$B$3),"Pass","Not yet"))</f>
        <v/>
      </c>
      <c r="L80" s="9"/>
      <c r="M80" s="9"/>
    </row>
    <row r="81" customFormat="false" ht="15" hidden="false" customHeight="false" outlineLevel="0" collapsed="false">
      <c r="A81" s="9"/>
      <c r="B81" s="9"/>
      <c r="C81" s="9"/>
      <c r="D81" s="9"/>
      <c r="E81" s="9"/>
      <c r="F81" s="9"/>
      <c r="G81" s="9"/>
      <c r="H81" s="9"/>
      <c r="I81" s="9"/>
      <c r="J81" s="9"/>
      <c r="K81" s="6" t="str">
        <f aca="false">IF(OR(F81="",H81=""),"",IF(AND(F81="Yes",H81&gt;=$B$3),"Pass","Not yet"))</f>
        <v/>
      </c>
      <c r="L81" s="9"/>
      <c r="M81" s="9"/>
    </row>
    <row r="82" customFormat="false" ht="15" hidden="false" customHeight="false" outlineLevel="0" collapsed="false">
      <c r="A82" s="9"/>
      <c r="B82" s="9"/>
      <c r="C82" s="9"/>
      <c r="D82" s="9"/>
      <c r="E82" s="9"/>
      <c r="F82" s="9"/>
      <c r="G82" s="9"/>
      <c r="H82" s="9"/>
      <c r="I82" s="9"/>
      <c r="J82" s="9"/>
      <c r="K82" s="6" t="str">
        <f aca="false">IF(OR(F82="",H82=""),"",IF(AND(F82="Yes",H82&gt;=$B$3),"Pass","Not yet"))</f>
        <v/>
      </c>
      <c r="L82" s="9"/>
      <c r="M82" s="9"/>
    </row>
    <row r="83" customFormat="false" ht="15" hidden="false" customHeight="false" outlineLevel="0" collapsed="false">
      <c r="A83" s="9"/>
      <c r="B83" s="9"/>
      <c r="C83" s="9"/>
      <c r="D83" s="9"/>
      <c r="E83" s="9"/>
      <c r="F83" s="9"/>
      <c r="G83" s="9"/>
      <c r="H83" s="9"/>
      <c r="I83" s="9"/>
      <c r="J83" s="9"/>
      <c r="K83" s="6" t="str">
        <f aca="false">IF(OR(F83="",H83=""),"",IF(AND(F83="Yes",H83&gt;=$B$3),"Pass","Not yet"))</f>
        <v/>
      </c>
      <c r="L83" s="9"/>
      <c r="M83" s="9"/>
    </row>
    <row r="84" customFormat="false" ht="15" hidden="false" customHeight="false" outlineLevel="0" collapsed="false">
      <c r="A84" s="9"/>
      <c r="B84" s="9"/>
      <c r="C84" s="9"/>
      <c r="D84" s="9"/>
      <c r="E84" s="9"/>
      <c r="F84" s="9"/>
      <c r="G84" s="9"/>
      <c r="H84" s="9"/>
      <c r="I84" s="9"/>
      <c r="J84" s="9"/>
      <c r="K84" s="6" t="str">
        <f aca="false">IF(OR(F84="",H84=""),"",IF(AND(F84="Yes",H84&gt;=$B$3),"Pass","Not yet"))</f>
        <v/>
      </c>
      <c r="L84" s="9"/>
      <c r="M84" s="9"/>
    </row>
    <row r="85" customFormat="false" ht="15" hidden="false" customHeight="false" outlineLevel="0" collapsed="false">
      <c r="A85" s="9"/>
      <c r="B85" s="9"/>
      <c r="C85" s="9"/>
      <c r="D85" s="9"/>
      <c r="E85" s="9"/>
      <c r="F85" s="9"/>
      <c r="G85" s="9"/>
      <c r="H85" s="9"/>
      <c r="I85" s="9"/>
      <c r="J85" s="9"/>
      <c r="K85" s="6" t="str">
        <f aca="false">IF(OR(F85="",H85=""),"",IF(AND(F85="Yes",H85&gt;=$B$3),"Pass","Not yet"))</f>
        <v/>
      </c>
      <c r="L85" s="9"/>
      <c r="M85" s="9"/>
    </row>
    <row r="86" customFormat="false" ht="15" hidden="false" customHeight="false" outlineLevel="0" collapsed="false">
      <c r="A86" s="9"/>
      <c r="B86" s="9"/>
      <c r="C86" s="9"/>
      <c r="D86" s="9"/>
      <c r="E86" s="9"/>
      <c r="F86" s="9"/>
      <c r="G86" s="9"/>
      <c r="H86" s="9"/>
      <c r="I86" s="9"/>
      <c r="J86" s="9"/>
      <c r="K86" s="6" t="str">
        <f aca="false">IF(OR(F86="",H86=""),"",IF(AND(F86="Yes",H86&gt;=$B$3),"Pass","Not yet"))</f>
        <v/>
      </c>
      <c r="L86" s="9"/>
      <c r="M86" s="9"/>
    </row>
    <row r="87" customFormat="false" ht="15" hidden="false" customHeight="false" outlineLevel="0" collapsed="false">
      <c r="A87" s="9"/>
      <c r="B87" s="9"/>
      <c r="C87" s="9"/>
      <c r="D87" s="9"/>
      <c r="E87" s="9"/>
      <c r="F87" s="9"/>
      <c r="G87" s="9"/>
      <c r="H87" s="9"/>
      <c r="I87" s="9"/>
      <c r="J87" s="9"/>
      <c r="K87" s="6" t="str">
        <f aca="false">IF(OR(F87="",H87=""),"",IF(AND(F87="Yes",H87&gt;=$B$3),"Pass","Not yet"))</f>
        <v/>
      </c>
      <c r="L87" s="9"/>
      <c r="M87" s="9"/>
    </row>
    <row r="88" customFormat="false" ht="15" hidden="false" customHeight="false" outlineLevel="0" collapsed="false">
      <c r="A88" s="9"/>
      <c r="B88" s="9"/>
      <c r="C88" s="9"/>
      <c r="D88" s="9"/>
      <c r="E88" s="9"/>
      <c r="F88" s="9"/>
      <c r="G88" s="9"/>
      <c r="H88" s="9"/>
      <c r="I88" s="9"/>
      <c r="J88" s="9"/>
      <c r="K88" s="6" t="str">
        <f aca="false">IF(OR(F88="",H88=""),"",IF(AND(F88="Yes",H88&gt;=$B$3),"Pass","Not yet"))</f>
        <v/>
      </c>
      <c r="L88" s="9"/>
      <c r="M88" s="9"/>
    </row>
    <row r="89" customFormat="false" ht="15" hidden="false" customHeight="false" outlineLevel="0" collapsed="false">
      <c r="A89" s="9"/>
      <c r="B89" s="9"/>
      <c r="C89" s="9"/>
      <c r="D89" s="9"/>
      <c r="E89" s="9"/>
      <c r="F89" s="9"/>
      <c r="G89" s="9"/>
      <c r="H89" s="9"/>
      <c r="I89" s="9"/>
      <c r="J89" s="9"/>
      <c r="K89" s="6" t="str">
        <f aca="false">IF(OR(F89="",H89=""),"",IF(AND(F89="Yes",H89&gt;=$B$3),"Pass","Not yet"))</f>
        <v/>
      </c>
      <c r="L89" s="9"/>
      <c r="M89" s="9"/>
    </row>
    <row r="90" customFormat="false" ht="15" hidden="false" customHeight="false" outlineLevel="0" collapsed="false">
      <c r="A90" s="9"/>
      <c r="B90" s="9"/>
      <c r="C90" s="9"/>
      <c r="D90" s="9"/>
      <c r="E90" s="9"/>
      <c r="F90" s="9"/>
      <c r="G90" s="9"/>
      <c r="H90" s="9"/>
      <c r="I90" s="9"/>
      <c r="J90" s="9"/>
      <c r="K90" s="6" t="str">
        <f aca="false">IF(OR(F90="",H90=""),"",IF(AND(F90="Yes",H90&gt;=$B$3),"Pass","Not yet"))</f>
        <v/>
      </c>
      <c r="L90" s="9"/>
      <c r="M90" s="9"/>
    </row>
    <row r="91" customFormat="false" ht="15" hidden="false" customHeight="false" outlineLevel="0" collapsed="false">
      <c r="A91" s="9"/>
      <c r="B91" s="9"/>
      <c r="C91" s="9"/>
      <c r="D91" s="9"/>
      <c r="E91" s="9"/>
      <c r="F91" s="9"/>
      <c r="G91" s="9"/>
      <c r="H91" s="9"/>
      <c r="I91" s="9"/>
      <c r="J91" s="9"/>
      <c r="K91" s="6" t="str">
        <f aca="false">IF(OR(F91="",H91=""),"",IF(AND(F91="Yes",H91&gt;=$B$3),"Pass","Not yet"))</f>
        <v/>
      </c>
      <c r="L91" s="9"/>
      <c r="M91" s="9"/>
    </row>
    <row r="92" customFormat="false" ht="15" hidden="false" customHeight="false" outlineLevel="0" collapsed="false">
      <c r="A92" s="9"/>
      <c r="B92" s="9"/>
      <c r="C92" s="9"/>
      <c r="D92" s="9"/>
      <c r="E92" s="9"/>
      <c r="F92" s="9"/>
      <c r="G92" s="9"/>
      <c r="H92" s="9"/>
      <c r="I92" s="9"/>
      <c r="J92" s="9"/>
      <c r="K92" s="6" t="str">
        <f aca="false">IF(OR(F92="",H92=""),"",IF(AND(F92="Yes",H92&gt;=$B$3),"Pass","Not yet"))</f>
        <v/>
      </c>
      <c r="L92" s="9"/>
      <c r="M92" s="9"/>
    </row>
    <row r="93" customFormat="false" ht="15" hidden="false" customHeight="false" outlineLevel="0" collapsed="false">
      <c r="A93" s="9"/>
      <c r="B93" s="9"/>
      <c r="C93" s="9"/>
      <c r="D93" s="9"/>
      <c r="E93" s="9"/>
      <c r="F93" s="9"/>
      <c r="G93" s="9"/>
      <c r="H93" s="9"/>
      <c r="I93" s="9"/>
      <c r="J93" s="9"/>
      <c r="K93" s="6" t="str">
        <f aca="false">IF(OR(F93="",H93=""),"",IF(AND(F93="Yes",H93&gt;=$B$3),"Pass","Not yet"))</f>
        <v/>
      </c>
      <c r="L93" s="9"/>
      <c r="M93" s="9"/>
    </row>
    <row r="94" customFormat="false" ht="15" hidden="false" customHeight="false" outlineLevel="0" collapsed="false">
      <c r="A94" s="9"/>
      <c r="B94" s="9"/>
      <c r="C94" s="9"/>
      <c r="D94" s="9"/>
      <c r="E94" s="9"/>
      <c r="F94" s="9"/>
      <c r="G94" s="9"/>
      <c r="H94" s="9"/>
      <c r="I94" s="9"/>
      <c r="J94" s="9"/>
      <c r="K94" s="6" t="str">
        <f aca="false">IF(OR(F94="",H94=""),"",IF(AND(F94="Yes",H94&gt;=$B$3),"Pass","Not yet"))</f>
        <v/>
      </c>
      <c r="L94" s="9"/>
      <c r="M94" s="9"/>
    </row>
    <row r="95" customFormat="false" ht="15" hidden="false" customHeight="false" outlineLevel="0" collapsed="false">
      <c r="A95" s="9"/>
      <c r="B95" s="9"/>
      <c r="C95" s="9"/>
      <c r="D95" s="9"/>
      <c r="E95" s="9"/>
      <c r="F95" s="9"/>
      <c r="G95" s="9"/>
      <c r="H95" s="9"/>
      <c r="I95" s="9"/>
      <c r="J95" s="9"/>
      <c r="K95" s="6" t="str">
        <f aca="false">IF(OR(F95="",H95=""),"",IF(AND(F95="Yes",H95&gt;=$B$3),"Pass","Not yet"))</f>
        <v/>
      </c>
      <c r="L95" s="9"/>
      <c r="M95" s="9"/>
    </row>
    <row r="96" customFormat="false" ht="15" hidden="false" customHeight="false" outlineLevel="0" collapsed="false">
      <c r="A96" s="9"/>
      <c r="B96" s="9"/>
      <c r="C96" s="9"/>
      <c r="D96" s="9"/>
      <c r="E96" s="9"/>
      <c r="F96" s="9"/>
      <c r="G96" s="9"/>
      <c r="H96" s="9"/>
      <c r="I96" s="9"/>
      <c r="J96" s="9"/>
      <c r="K96" s="6" t="str">
        <f aca="false">IF(OR(F96="",H96=""),"",IF(AND(F96="Yes",H96&gt;=$B$3),"Pass","Not yet"))</f>
        <v/>
      </c>
      <c r="L96" s="9"/>
      <c r="M96" s="9"/>
    </row>
    <row r="97" customFormat="false" ht="15" hidden="false" customHeight="false" outlineLevel="0" collapsed="false">
      <c r="A97" s="9"/>
      <c r="B97" s="9"/>
      <c r="C97" s="9"/>
      <c r="D97" s="9"/>
      <c r="E97" s="9"/>
      <c r="F97" s="9"/>
      <c r="G97" s="9"/>
      <c r="H97" s="9"/>
      <c r="I97" s="9"/>
      <c r="J97" s="9"/>
      <c r="K97" s="6" t="str">
        <f aca="false">IF(OR(F97="",H97=""),"",IF(AND(F97="Yes",H97&gt;=$B$3),"Pass","Not yet"))</f>
        <v/>
      </c>
      <c r="L97" s="9"/>
      <c r="M97" s="9"/>
    </row>
    <row r="98" customFormat="false" ht="15" hidden="false" customHeight="false" outlineLevel="0" collapsed="false">
      <c r="A98" s="9"/>
      <c r="B98" s="9"/>
      <c r="C98" s="9"/>
      <c r="D98" s="9"/>
      <c r="E98" s="9"/>
      <c r="F98" s="9"/>
      <c r="G98" s="9"/>
      <c r="H98" s="9"/>
      <c r="I98" s="9"/>
      <c r="J98" s="9"/>
      <c r="K98" s="6" t="str">
        <f aca="false">IF(OR(F98="",H98=""),"",IF(AND(F98="Yes",H98&gt;=$B$3),"Pass","Not yet"))</f>
        <v/>
      </c>
      <c r="L98" s="9"/>
      <c r="M98" s="9"/>
    </row>
    <row r="99" customFormat="false" ht="15" hidden="false" customHeight="false" outlineLevel="0" collapsed="false">
      <c r="A99" s="9"/>
      <c r="B99" s="9"/>
      <c r="C99" s="9"/>
      <c r="D99" s="9"/>
      <c r="E99" s="9"/>
      <c r="F99" s="9"/>
      <c r="G99" s="9"/>
      <c r="H99" s="9"/>
      <c r="I99" s="9"/>
      <c r="J99" s="9"/>
      <c r="K99" s="6" t="str">
        <f aca="false">IF(OR(F99="",H99=""),"",IF(AND(F99="Yes",H99&gt;=$B$3),"Pass","Not yet"))</f>
        <v/>
      </c>
      <c r="L99" s="9"/>
      <c r="M99" s="9"/>
    </row>
    <row r="100" customFormat="false" ht="15" hidden="false" customHeight="false" outlineLevel="0" collapsed="false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6" t="str">
        <f aca="false">IF(OR(F100="",H100=""),"",IF(AND(F100="Yes",H100&gt;=$B$3),"Pass","Not yet"))</f>
        <v/>
      </c>
      <c r="L100" s="9"/>
      <c r="M100" s="9"/>
    </row>
    <row r="101" customFormat="false" ht="15" hidden="false" customHeight="false" outlineLevel="0" collapsed="false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6" t="str">
        <f aca="false">IF(OR(F101="",H101=""),"",IF(AND(F101="Yes",H101&gt;=$B$3),"Pass","Not yet"))</f>
        <v/>
      </c>
      <c r="L101" s="9"/>
      <c r="M101" s="9"/>
    </row>
    <row r="102" customFormat="false" ht="15" hidden="false" customHeight="false" outlineLevel="0" collapsed="false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6" t="str">
        <f aca="false">IF(OR(F102="",H102=""),"",IF(AND(F102="Yes",H102&gt;=$B$3),"Pass","Not yet"))</f>
        <v/>
      </c>
      <c r="L102" s="9"/>
      <c r="M102" s="9"/>
    </row>
    <row r="103" customFormat="false" ht="15" hidden="false" customHeight="false" outlineLevel="0" collapsed="false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6" t="str">
        <f aca="false">IF(OR(F103="",H103=""),"",IF(AND(F103="Yes",H103&gt;=$B$3),"Pass","Not yet"))</f>
        <v/>
      </c>
      <c r="L103" s="9"/>
      <c r="M103" s="9"/>
    </row>
    <row r="104" customFormat="false" ht="15" hidden="false" customHeight="false" outlineLevel="0" collapsed="false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6" t="str">
        <f aca="false">IF(OR(F104="",H104=""),"",IF(AND(F104="Yes",H104&gt;=$B$3),"Pass","Not yet"))</f>
        <v/>
      </c>
      <c r="L104" s="9"/>
      <c r="M104" s="9"/>
    </row>
    <row r="105" customFormat="false" ht="15" hidden="false" customHeight="false" outlineLevel="0" collapsed="false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6" t="str">
        <f aca="false">IF(OR(F105="",H105=""),"",IF(AND(F105="Yes",H105&gt;=$B$3),"Pass","Not yet"))</f>
        <v/>
      </c>
      <c r="L105" s="9"/>
      <c r="M105" s="9"/>
    </row>
    <row r="106" customFormat="false" ht="15" hidden="false" customHeight="false" outlineLevel="0" collapsed="false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6" t="str">
        <f aca="false">IF(OR(F106="",H106=""),"",IF(AND(F106="Yes",H106&gt;=$B$3),"Pass","Not yet"))</f>
        <v/>
      </c>
      <c r="L106" s="9"/>
      <c r="M106" s="9"/>
    </row>
    <row r="107" customFormat="false" ht="15" hidden="false" customHeight="false" outlineLevel="0" collapsed="false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6" t="str">
        <f aca="false">IF(OR(F107="",H107=""),"",IF(AND(F107="Yes",H107&gt;=$B$3),"Pass","Not yet"))</f>
        <v/>
      </c>
      <c r="L107" s="9"/>
      <c r="M107" s="9"/>
    </row>
    <row r="108" customFormat="false" ht="15" hidden="false" customHeight="false" outlineLevel="0" collapsed="false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6" t="str">
        <f aca="false">IF(OR(F108="",H108=""),"",IF(AND(F108="Yes",H108&gt;=$B$3),"Pass","Not yet"))</f>
        <v/>
      </c>
      <c r="L108" s="9"/>
      <c r="M108" s="9"/>
    </row>
    <row r="109" customFormat="false" ht="15" hidden="false" customHeight="false" outlineLevel="0" collapsed="false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6" t="str">
        <f aca="false">IF(OR(F109="",H109=""),"",IF(AND(F109="Yes",H109&gt;=$B$3),"Pass","Not yet"))</f>
        <v/>
      </c>
      <c r="L109" s="9"/>
      <c r="M109" s="9"/>
    </row>
    <row r="110" customFormat="false" ht="15" hidden="false" customHeight="false" outlineLevel="0" collapsed="false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6" t="str">
        <f aca="false">IF(OR(F110="",H110=""),"",IF(AND(F110="Yes",H110&gt;=$B$3),"Pass","Not yet"))</f>
        <v/>
      </c>
      <c r="L110" s="9"/>
      <c r="M110" s="9"/>
    </row>
    <row r="111" customFormat="false" ht="15" hidden="false" customHeight="false" outlineLevel="0" collapsed="false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6" t="str">
        <f aca="false">IF(OR(F111="",H111=""),"",IF(AND(F111="Yes",H111&gt;=$B$3),"Pass","Not yet"))</f>
        <v/>
      </c>
      <c r="L111" s="9"/>
      <c r="M111" s="9"/>
    </row>
    <row r="112" customFormat="false" ht="15" hidden="false" customHeight="false" outlineLevel="0" collapsed="false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6" t="str">
        <f aca="false">IF(OR(F112="",H112=""),"",IF(AND(F112="Yes",H112&gt;=$B$3),"Pass","Not yet"))</f>
        <v/>
      </c>
      <c r="L112" s="9"/>
      <c r="M112" s="9"/>
    </row>
    <row r="113" customFormat="false" ht="15" hidden="false" customHeight="false" outlineLevel="0" collapsed="false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6" t="str">
        <f aca="false">IF(OR(F113="",H113=""),"",IF(AND(F113="Yes",H113&gt;=$B$3),"Pass","Not yet"))</f>
        <v/>
      </c>
      <c r="L113" s="9"/>
      <c r="M113" s="9"/>
    </row>
    <row r="114" customFormat="false" ht="15" hidden="false" customHeight="false" outlineLevel="0" collapsed="false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6" t="str">
        <f aca="false">IF(OR(F114="",H114=""),"",IF(AND(F114="Yes",H114&gt;=$B$3),"Pass","Not yet"))</f>
        <v/>
      </c>
      <c r="L114" s="9"/>
      <c r="M114" s="9"/>
    </row>
    <row r="115" customFormat="false" ht="15" hidden="false" customHeight="false" outlineLevel="0" collapsed="false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6" t="str">
        <f aca="false">IF(OR(F115="",H115=""),"",IF(AND(F115="Yes",H115&gt;=$B$3),"Pass","Not yet"))</f>
        <v/>
      </c>
      <c r="L115" s="9"/>
      <c r="M115" s="9"/>
    </row>
    <row r="116" customFormat="false" ht="15" hidden="false" customHeight="false" outlineLevel="0" collapsed="false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6" t="str">
        <f aca="false">IF(OR(F116="",H116=""),"",IF(AND(F116="Yes",H116&gt;=$B$3),"Pass","Not yet"))</f>
        <v/>
      </c>
      <c r="L116" s="9"/>
      <c r="M116" s="9"/>
    </row>
    <row r="117" customFormat="false" ht="15" hidden="false" customHeight="false" outlineLevel="0" collapsed="false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6" t="str">
        <f aca="false">IF(OR(F117="",H117=""),"",IF(AND(F117="Yes",H117&gt;=$B$3),"Pass","Not yet"))</f>
        <v/>
      </c>
      <c r="L117" s="9"/>
      <c r="M117" s="9"/>
    </row>
    <row r="118" customFormat="false" ht="15" hidden="false" customHeight="false" outlineLevel="0" collapsed="false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6" t="str">
        <f aca="false">IF(OR(F118="",H118=""),"",IF(AND(F118="Yes",H118&gt;=$B$3),"Pass","Not yet"))</f>
        <v/>
      </c>
      <c r="L118" s="9"/>
      <c r="M118" s="9"/>
    </row>
    <row r="119" customFormat="false" ht="15" hidden="false" customHeight="false" outlineLevel="0" collapsed="false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6" t="str">
        <f aca="false">IF(OR(F119="",H119=""),"",IF(AND(F119="Yes",H119&gt;=$B$3),"Pass","Not yet"))</f>
        <v/>
      </c>
      <c r="L119" s="9"/>
      <c r="M119" s="9"/>
    </row>
    <row r="120" customFormat="false" ht="15" hidden="false" customHeight="false" outlineLevel="0" collapsed="false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6" t="str">
        <f aca="false">IF(OR(F120="",H120=""),"",IF(AND(F120="Yes",H120&gt;=$B$3),"Pass","Not yet"))</f>
        <v/>
      </c>
      <c r="L120" s="9"/>
      <c r="M120" s="9"/>
    </row>
    <row r="121" customFormat="false" ht="15" hidden="false" customHeight="false" outlineLevel="0" collapsed="false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6" t="str">
        <f aca="false">IF(OR(F121="",H121=""),"",IF(AND(F121="Yes",H121&gt;=$B$3),"Pass","Not yet"))</f>
        <v/>
      </c>
      <c r="L121" s="9"/>
      <c r="M121" s="9"/>
    </row>
    <row r="122" customFormat="false" ht="15" hidden="false" customHeight="false" outlineLevel="0" collapsed="false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6" t="str">
        <f aca="false">IF(OR(F122="",H122=""),"",IF(AND(F122="Yes",H122&gt;=$B$3),"Pass","Not yet"))</f>
        <v/>
      </c>
      <c r="L122" s="9"/>
      <c r="M122" s="9"/>
    </row>
    <row r="123" customFormat="false" ht="15" hidden="false" customHeight="false" outlineLevel="0" collapsed="false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6" t="str">
        <f aca="false">IF(OR(F123="",H123=""),"",IF(AND(F123="Yes",H123&gt;=$B$3),"Pass","Not yet"))</f>
        <v/>
      </c>
      <c r="L123" s="9"/>
      <c r="M123" s="9"/>
    </row>
    <row r="124" customFormat="false" ht="15" hidden="false" customHeight="false" outlineLevel="0" collapsed="false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6" t="str">
        <f aca="false">IF(OR(F124="",H124=""),"",IF(AND(F124="Yes",H124&gt;=$B$3),"Pass","Not yet"))</f>
        <v/>
      </c>
      <c r="L124" s="9"/>
      <c r="M124" s="9"/>
    </row>
    <row r="125" customFormat="false" ht="15" hidden="false" customHeight="false" outlineLevel="0" collapsed="false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6" t="str">
        <f aca="false">IF(OR(F125="",H125=""),"",IF(AND(F125="Yes",H125&gt;=$B$3),"Pass","Not yet"))</f>
        <v/>
      </c>
      <c r="L125" s="9"/>
      <c r="M125" s="9"/>
    </row>
    <row r="126" customFormat="false" ht="15" hidden="false" customHeight="false" outlineLevel="0" collapsed="false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6" t="str">
        <f aca="false">IF(OR(F126="",H126=""),"",IF(AND(F126="Yes",H126&gt;=$B$3),"Pass","Not yet"))</f>
        <v/>
      </c>
      <c r="L126" s="9"/>
      <c r="M126" s="9"/>
    </row>
    <row r="127" customFormat="false" ht="15" hidden="false" customHeight="false" outlineLevel="0" collapsed="false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6" t="str">
        <f aca="false">IF(OR(F127="",H127=""),"",IF(AND(F127="Yes",H127&gt;=$B$3),"Pass","Not yet"))</f>
        <v/>
      </c>
      <c r="L127" s="9"/>
      <c r="M127" s="9"/>
    </row>
    <row r="128" customFormat="false" ht="15" hidden="false" customHeight="false" outlineLevel="0" collapsed="false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6" t="str">
        <f aca="false">IF(OR(F128="",H128=""),"",IF(AND(F128="Yes",H128&gt;=$B$3),"Pass","Not yet"))</f>
        <v/>
      </c>
      <c r="L128" s="9"/>
      <c r="M128" s="9"/>
    </row>
    <row r="129" customFormat="false" ht="15" hidden="false" customHeight="false" outlineLevel="0" collapsed="false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6" t="str">
        <f aca="false">IF(OR(F129="",H129=""),"",IF(AND(F129="Yes",H129&gt;=$B$3),"Pass","Not yet"))</f>
        <v/>
      </c>
      <c r="L129" s="9"/>
      <c r="M129" s="9"/>
    </row>
    <row r="130" customFormat="false" ht="15" hidden="false" customHeight="false" outlineLevel="0" collapsed="false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6" t="str">
        <f aca="false">IF(OR(F130="",H130=""),"",IF(AND(F130="Yes",H130&gt;=$B$3),"Pass","Not yet"))</f>
        <v/>
      </c>
      <c r="L130" s="9"/>
      <c r="M130" s="9"/>
    </row>
    <row r="131" customFormat="false" ht="15" hidden="false" customHeight="false" outlineLevel="0" collapsed="false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6" t="str">
        <f aca="false">IF(OR(F131="",H131=""),"",IF(AND(F131="Yes",H131&gt;=$B$3),"Pass","Not yet"))</f>
        <v/>
      </c>
      <c r="L131" s="9"/>
      <c r="M131" s="9"/>
    </row>
    <row r="132" customFormat="false" ht="15" hidden="false" customHeight="false" outlineLevel="0" collapsed="false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6" t="str">
        <f aca="false">IF(OR(F132="",H132=""),"",IF(AND(F132="Yes",H132&gt;=$B$3),"Pass","Not yet"))</f>
        <v/>
      </c>
      <c r="L132" s="9"/>
      <c r="M132" s="9"/>
    </row>
    <row r="133" customFormat="false" ht="15" hidden="false" customHeight="false" outlineLevel="0" collapsed="false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6" t="str">
        <f aca="false">IF(OR(F133="",H133=""),"",IF(AND(F133="Yes",H133&gt;=$B$3),"Pass","Not yet"))</f>
        <v/>
      </c>
      <c r="L133" s="9"/>
      <c r="M133" s="9"/>
    </row>
    <row r="134" customFormat="false" ht="15" hidden="false" customHeight="false" outlineLevel="0" collapsed="false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6" t="str">
        <f aca="false">IF(OR(F134="",H134=""),"",IF(AND(F134="Yes",H134&gt;=$B$3),"Pass","Not yet"))</f>
        <v/>
      </c>
      <c r="L134" s="9"/>
      <c r="M134" s="9"/>
    </row>
    <row r="135" customFormat="false" ht="15" hidden="false" customHeight="false" outlineLevel="0" collapsed="false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6" t="str">
        <f aca="false">IF(OR(F135="",H135=""),"",IF(AND(F135="Yes",H135&gt;=$B$3),"Pass","Not yet"))</f>
        <v/>
      </c>
      <c r="L135" s="9"/>
      <c r="M135" s="9"/>
    </row>
    <row r="136" customFormat="false" ht="15" hidden="false" customHeight="false" outlineLevel="0" collapsed="false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6" t="str">
        <f aca="false">IF(OR(F136="",H136=""),"",IF(AND(F136="Yes",H136&gt;=$B$3),"Pass","Not yet"))</f>
        <v/>
      </c>
      <c r="L136" s="9"/>
      <c r="M136" s="9"/>
    </row>
    <row r="137" customFormat="false" ht="15" hidden="false" customHeight="false" outlineLevel="0" collapsed="false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6" t="str">
        <f aca="false">IF(OR(F137="",H137=""),"",IF(AND(F137="Yes",H137&gt;=$B$3),"Pass","Not yet"))</f>
        <v/>
      </c>
      <c r="L137" s="9"/>
      <c r="M137" s="9"/>
    </row>
    <row r="138" customFormat="false" ht="15" hidden="false" customHeight="false" outlineLevel="0" collapsed="false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6" t="str">
        <f aca="false">IF(OR(F138="",H138=""),"",IF(AND(F138="Yes",H138&gt;=$B$3),"Pass","Not yet"))</f>
        <v/>
      </c>
      <c r="L138" s="9"/>
      <c r="M138" s="9"/>
    </row>
    <row r="139" customFormat="false" ht="15" hidden="false" customHeight="false" outlineLevel="0" collapsed="false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6" t="str">
        <f aca="false">IF(OR(F139="",H139=""),"",IF(AND(F139="Yes",H139&gt;=$B$3),"Pass","Not yet"))</f>
        <v/>
      </c>
      <c r="L139" s="9"/>
      <c r="M139" s="9"/>
    </row>
    <row r="140" customFormat="false" ht="15" hidden="false" customHeight="false" outlineLevel="0" collapsed="false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6" t="str">
        <f aca="false">IF(OR(F140="",H140=""),"",IF(AND(F140="Yes",H140&gt;=$B$3),"Pass","Not yet"))</f>
        <v/>
      </c>
      <c r="L140" s="9"/>
      <c r="M140" s="9"/>
    </row>
    <row r="141" customFormat="false" ht="15" hidden="false" customHeight="false" outlineLevel="0" collapsed="false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6" t="str">
        <f aca="false">IF(OR(F141="",H141=""),"",IF(AND(F141="Yes",H141&gt;=$B$3),"Pass","Not yet"))</f>
        <v/>
      </c>
      <c r="L141" s="9"/>
      <c r="M141" s="9"/>
    </row>
    <row r="142" customFormat="false" ht="15" hidden="false" customHeight="false" outlineLevel="0" collapsed="false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6" t="str">
        <f aca="false">IF(OR(F142="",H142=""),"",IF(AND(F142="Yes",H142&gt;=$B$3),"Pass","Not yet"))</f>
        <v/>
      </c>
      <c r="L142" s="9"/>
      <c r="M142" s="9"/>
    </row>
    <row r="143" customFormat="false" ht="15" hidden="false" customHeight="false" outlineLevel="0" collapsed="false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6" t="str">
        <f aca="false">IF(OR(F143="",H143=""),"",IF(AND(F143="Yes",H143&gt;=$B$3),"Pass","Not yet"))</f>
        <v/>
      </c>
      <c r="L143" s="9"/>
      <c r="M143" s="9"/>
    </row>
    <row r="144" customFormat="false" ht="15" hidden="false" customHeight="false" outlineLevel="0" collapsed="false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6" t="str">
        <f aca="false">IF(OR(F144="",H144=""),"",IF(AND(F144="Yes",H144&gt;=$B$3),"Pass","Not yet"))</f>
        <v/>
      </c>
      <c r="L144" s="9"/>
      <c r="M144" s="9"/>
    </row>
    <row r="145" customFormat="false" ht="15" hidden="false" customHeight="false" outlineLevel="0" collapsed="false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6" t="str">
        <f aca="false">IF(OR(F145="",H145=""),"",IF(AND(F145="Yes",H145&gt;=$B$3),"Pass","Not yet"))</f>
        <v/>
      </c>
      <c r="L145" s="9"/>
      <c r="M145" s="9"/>
    </row>
    <row r="146" customFormat="false" ht="15" hidden="false" customHeight="false" outlineLevel="0" collapsed="false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6" t="str">
        <f aca="false">IF(OR(F146="",H146=""),"",IF(AND(F146="Yes",H146&gt;=$B$3),"Pass","Not yet"))</f>
        <v/>
      </c>
      <c r="L146" s="9"/>
      <c r="M146" s="9"/>
    </row>
    <row r="147" customFormat="false" ht="15" hidden="false" customHeight="false" outlineLevel="0" collapsed="false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6" t="str">
        <f aca="false">IF(OR(F147="",H147=""),"",IF(AND(F147="Yes",H147&gt;=$B$3),"Pass","Not yet"))</f>
        <v/>
      </c>
      <c r="L147" s="9"/>
      <c r="M147" s="9"/>
    </row>
    <row r="148" customFormat="false" ht="15" hidden="false" customHeight="false" outlineLevel="0" collapsed="false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6" t="str">
        <f aca="false">IF(OR(F148="",H148=""),"",IF(AND(F148="Yes",H148&gt;=$B$3),"Pass","Not yet"))</f>
        <v/>
      </c>
      <c r="L148" s="9"/>
      <c r="M148" s="9"/>
    </row>
    <row r="149" customFormat="false" ht="15" hidden="false" customHeight="false" outlineLevel="0" collapsed="false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6" t="str">
        <f aca="false">IF(OR(F149="",H149=""),"",IF(AND(F149="Yes",H149&gt;=$B$3),"Pass","Not yet"))</f>
        <v/>
      </c>
      <c r="L149" s="9"/>
      <c r="M149" s="9"/>
    </row>
    <row r="150" customFormat="false" ht="15" hidden="false" customHeight="false" outlineLevel="0" collapsed="false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6" t="str">
        <f aca="false">IF(OR(F150="",H150=""),"",IF(AND(F150="Yes",H150&gt;=$B$3),"Pass","Not yet"))</f>
        <v/>
      </c>
      <c r="L150" s="9"/>
      <c r="M150" s="9"/>
    </row>
    <row r="151" customFormat="false" ht="15" hidden="false" customHeight="false" outlineLevel="0" collapsed="false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6" t="str">
        <f aca="false">IF(OR(F151="",H151=""),"",IF(AND(F151="Yes",H151&gt;=$B$3),"Pass","Not yet"))</f>
        <v/>
      </c>
      <c r="L151" s="9"/>
      <c r="M151" s="9"/>
    </row>
    <row r="152" customFormat="false" ht="15" hidden="false" customHeight="false" outlineLevel="0" collapsed="false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6" t="str">
        <f aca="false">IF(OR(F152="",H152=""),"",IF(AND(F152="Yes",H152&gt;=$B$3),"Pass","Not yet"))</f>
        <v/>
      </c>
      <c r="L152" s="9"/>
      <c r="M152" s="9"/>
    </row>
    <row r="153" customFormat="false" ht="15" hidden="false" customHeight="false" outlineLevel="0" collapsed="false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6" t="str">
        <f aca="false">IF(OR(F153="",H153=""),"",IF(AND(F153="Yes",H153&gt;=$B$3),"Pass","Not yet"))</f>
        <v/>
      </c>
      <c r="L153" s="9"/>
      <c r="M153" s="9"/>
    </row>
    <row r="154" customFormat="false" ht="15" hidden="false" customHeight="false" outlineLevel="0" collapsed="false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6" t="str">
        <f aca="false">IF(OR(F154="",H154=""),"",IF(AND(F154="Yes",H154&gt;=$B$3),"Pass","Not yet"))</f>
        <v/>
      </c>
      <c r="L154" s="9"/>
      <c r="M154" s="9"/>
    </row>
    <row r="155" customFormat="false" ht="15" hidden="false" customHeight="false" outlineLevel="0" collapsed="false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6" t="str">
        <f aca="false">IF(OR(F155="",H155=""),"",IF(AND(F155="Yes",H155&gt;=$B$3),"Pass","Not yet"))</f>
        <v/>
      </c>
      <c r="L155" s="9"/>
      <c r="M155" s="9"/>
    </row>
    <row r="156" customFormat="false" ht="15" hidden="false" customHeight="false" outlineLevel="0" collapsed="false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6" t="str">
        <f aca="false">IF(OR(F156="",H156=""),"",IF(AND(F156="Yes",H156&gt;=$B$3),"Pass","Not yet"))</f>
        <v/>
      </c>
      <c r="L156" s="9"/>
      <c r="M156" s="9"/>
    </row>
    <row r="157" customFormat="false" ht="15" hidden="false" customHeight="false" outlineLevel="0" collapsed="false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6" t="str">
        <f aca="false">IF(OR(F157="",H157=""),"",IF(AND(F157="Yes",H157&gt;=$B$3),"Pass","Not yet"))</f>
        <v/>
      </c>
      <c r="L157" s="9"/>
      <c r="M157" s="9"/>
    </row>
    <row r="158" customFormat="false" ht="15" hidden="false" customHeight="false" outlineLevel="0" collapsed="false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6" t="str">
        <f aca="false">IF(OR(F158="",H158=""),"",IF(AND(F158="Yes",H158&gt;=$B$3),"Pass","Not yet"))</f>
        <v/>
      </c>
      <c r="L158" s="9"/>
      <c r="M158" s="9"/>
    </row>
    <row r="159" customFormat="false" ht="15" hidden="false" customHeight="false" outlineLevel="0" collapsed="false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6" t="str">
        <f aca="false">IF(OR(F159="",H159=""),"",IF(AND(F159="Yes",H159&gt;=$B$3),"Pass","Not yet"))</f>
        <v/>
      </c>
      <c r="L159" s="9"/>
      <c r="M159" s="9"/>
    </row>
    <row r="160" customFormat="false" ht="15" hidden="false" customHeight="false" outlineLevel="0" collapsed="false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6" t="str">
        <f aca="false">IF(OR(F160="",H160=""),"",IF(AND(F160="Yes",H160&gt;=$B$3),"Pass","Not yet"))</f>
        <v/>
      </c>
      <c r="L160" s="9"/>
      <c r="M160" s="9"/>
    </row>
    <row r="161" customFormat="false" ht="15" hidden="false" customHeight="false" outlineLevel="0" collapsed="false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6" t="str">
        <f aca="false">IF(OR(F161="",H161=""),"",IF(AND(F161="Yes",H161&gt;=$B$3),"Pass","Not yet"))</f>
        <v/>
      </c>
      <c r="L161" s="9"/>
      <c r="M161" s="9"/>
    </row>
    <row r="162" customFormat="false" ht="15" hidden="false" customHeight="false" outlineLevel="0" collapsed="false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6" t="str">
        <f aca="false">IF(OR(F162="",H162=""),"",IF(AND(F162="Yes",H162&gt;=$B$3),"Pass","Not yet"))</f>
        <v/>
      </c>
      <c r="L162" s="9"/>
      <c r="M162" s="9"/>
    </row>
    <row r="163" customFormat="false" ht="15" hidden="false" customHeight="false" outlineLevel="0" collapsed="false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6" t="str">
        <f aca="false">IF(OR(F163="",H163=""),"",IF(AND(F163="Yes",H163&gt;=$B$3),"Pass","Not yet"))</f>
        <v/>
      </c>
      <c r="L163" s="9"/>
      <c r="M163" s="9"/>
    </row>
    <row r="164" customFormat="false" ht="15" hidden="false" customHeight="false" outlineLevel="0" collapsed="false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6" t="str">
        <f aca="false">IF(OR(F164="",H164=""),"",IF(AND(F164="Yes",H164&gt;=$B$3),"Pass","Not yet"))</f>
        <v/>
      </c>
      <c r="L164" s="9"/>
      <c r="M164" s="9"/>
    </row>
    <row r="165" customFormat="false" ht="15" hidden="false" customHeight="false" outlineLevel="0" collapsed="false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6" t="str">
        <f aca="false">IF(OR(F165="",H165=""),"",IF(AND(F165="Yes",H165&gt;=$B$3),"Pass","Not yet"))</f>
        <v/>
      </c>
      <c r="L165" s="9"/>
      <c r="M165" s="9"/>
    </row>
    <row r="166" customFormat="false" ht="15" hidden="false" customHeight="false" outlineLevel="0" collapsed="false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6" t="str">
        <f aca="false">IF(OR(F166="",H166=""),"",IF(AND(F166="Yes",H166&gt;=$B$3),"Pass","Not yet"))</f>
        <v/>
      </c>
      <c r="L166" s="9"/>
      <c r="M166" s="9"/>
    </row>
    <row r="167" customFormat="false" ht="15" hidden="false" customHeight="false" outlineLevel="0" collapsed="false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6" t="str">
        <f aca="false">IF(OR(F167="",H167=""),"",IF(AND(F167="Yes",H167&gt;=$B$3),"Pass","Not yet"))</f>
        <v/>
      </c>
      <c r="L167" s="9"/>
      <c r="M167" s="9"/>
    </row>
    <row r="168" customFormat="false" ht="15" hidden="false" customHeight="false" outlineLevel="0" collapsed="false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6" t="str">
        <f aca="false">IF(OR(F168="",H168=""),"",IF(AND(F168="Yes",H168&gt;=$B$3),"Pass","Not yet"))</f>
        <v/>
      </c>
      <c r="L168" s="9"/>
      <c r="M168" s="9"/>
    </row>
    <row r="169" customFormat="false" ht="15" hidden="false" customHeight="false" outlineLevel="0" collapsed="false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6" t="str">
        <f aca="false">IF(OR(F169="",H169=""),"",IF(AND(F169="Yes",H169&gt;=$B$3),"Pass","Not yet"))</f>
        <v/>
      </c>
      <c r="L169" s="9"/>
      <c r="M169" s="9"/>
    </row>
    <row r="170" customFormat="false" ht="15" hidden="false" customHeight="false" outlineLevel="0" collapsed="false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6" t="str">
        <f aca="false">IF(OR(F170="",H170=""),"",IF(AND(F170="Yes",H170&gt;=$B$3),"Pass","Not yet"))</f>
        <v/>
      </c>
      <c r="L170" s="9"/>
      <c r="M170" s="9"/>
    </row>
    <row r="171" customFormat="false" ht="15" hidden="false" customHeight="false" outlineLevel="0" collapsed="false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6" t="str">
        <f aca="false">IF(OR(F171="",H171=""),"",IF(AND(F171="Yes",H171&gt;=$B$3),"Pass","Not yet"))</f>
        <v/>
      </c>
      <c r="L171" s="9"/>
      <c r="M171" s="9"/>
    </row>
    <row r="172" customFormat="false" ht="15" hidden="false" customHeight="false" outlineLevel="0" collapsed="false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6" t="str">
        <f aca="false">IF(OR(F172="",H172=""),"",IF(AND(F172="Yes",H172&gt;=$B$3),"Pass","Not yet"))</f>
        <v/>
      </c>
      <c r="L172" s="9"/>
      <c r="M172" s="9"/>
    </row>
    <row r="173" customFormat="false" ht="15" hidden="false" customHeight="false" outlineLevel="0" collapsed="false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6" t="str">
        <f aca="false">IF(OR(F173="",H173=""),"",IF(AND(F173="Yes",H173&gt;=$B$3),"Pass","Not yet"))</f>
        <v/>
      </c>
      <c r="L173" s="9"/>
      <c r="M173" s="9"/>
    </row>
    <row r="174" customFormat="false" ht="15" hidden="false" customHeight="false" outlineLevel="0" collapsed="false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6" t="str">
        <f aca="false">IF(OR(F174="",H174=""),"",IF(AND(F174="Yes",H174&gt;=$B$3),"Pass","Not yet"))</f>
        <v/>
      </c>
      <c r="L174" s="9"/>
      <c r="M174" s="9"/>
    </row>
    <row r="175" customFormat="false" ht="15" hidden="false" customHeight="false" outlineLevel="0" collapsed="false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6" t="str">
        <f aca="false">IF(OR(F175="",H175=""),"",IF(AND(F175="Yes",H175&gt;=$B$3),"Pass","Not yet"))</f>
        <v/>
      </c>
      <c r="L175" s="9"/>
      <c r="M175" s="9"/>
    </row>
    <row r="176" customFormat="false" ht="15" hidden="false" customHeight="false" outlineLevel="0" collapsed="false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6" t="str">
        <f aca="false">IF(OR(F176="",H176=""),"",IF(AND(F176="Yes",H176&gt;=$B$3),"Pass","Not yet"))</f>
        <v/>
      </c>
      <c r="L176" s="9"/>
      <c r="M176" s="9"/>
    </row>
    <row r="177" customFormat="false" ht="15" hidden="false" customHeight="false" outlineLevel="0" collapsed="false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6" t="str">
        <f aca="false">IF(OR(F177="",H177=""),"",IF(AND(F177="Yes",H177&gt;=$B$3),"Pass","Not yet"))</f>
        <v/>
      </c>
      <c r="L177" s="9"/>
      <c r="M177" s="9"/>
    </row>
    <row r="178" customFormat="false" ht="15" hidden="false" customHeight="false" outlineLevel="0" collapsed="false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6" t="str">
        <f aca="false">IF(OR(F178="",H178=""),"",IF(AND(F178="Yes",H178&gt;=$B$3),"Pass","Not yet"))</f>
        <v/>
      </c>
      <c r="L178" s="9"/>
      <c r="M178" s="9"/>
    </row>
    <row r="179" customFormat="false" ht="15" hidden="false" customHeight="false" outlineLevel="0" collapsed="false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6" t="str">
        <f aca="false">IF(OR(F179="",H179=""),"",IF(AND(F179="Yes",H179&gt;=$B$3),"Pass","Not yet"))</f>
        <v/>
      </c>
      <c r="L179" s="9"/>
      <c r="M179" s="9"/>
    </row>
    <row r="180" customFormat="false" ht="15" hidden="false" customHeight="false" outlineLevel="0" collapsed="false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6" t="str">
        <f aca="false">IF(OR(F180="",H180=""),"",IF(AND(F180="Yes",H180&gt;=$B$3),"Pass","Not yet"))</f>
        <v/>
      </c>
      <c r="L180" s="9"/>
      <c r="M180" s="9"/>
    </row>
    <row r="181" customFormat="false" ht="15" hidden="false" customHeight="false" outlineLevel="0" collapsed="false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6" t="str">
        <f aca="false">IF(OR(F181="",H181=""),"",IF(AND(F181="Yes",H181&gt;=$B$3),"Pass","Not yet"))</f>
        <v/>
      </c>
      <c r="L181" s="9"/>
      <c r="M181" s="9"/>
    </row>
    <row r="182" customFormat="false" ht="15" hidden="false" customHeight="false" outlineLevel="0" collapsed="false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6" t="str">
        <f aca="false">IF(OR(F182="",H182=""),"",IF(AND(F182="Yes",H182&gt;=$B$3),"Pass","Not yet"))</f>
        <v/>
      </c>
      <c r="L182" s="9"/>
      <c r="M182" s="9"/>
    </row>
    <row r="183" customFormat="false" ht="15" hidden="false" customHeight="false" outlineLevel="0" collapsed="false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6" t="str">
        <f aca="false">IF(OR(F183="",H183=""),"",IF(AND(F183="Yes",H183&gt;=$B$3),"Pass","Not yet"))</f>
        <v/>
      </c>
      <c r="L183" s="9"/>
      <c r="M183" s="9"/>
    </row>
    <row r="184" customFormat="false" ht="15" hidden="false" customHeight="false" outlineLevel="0" collapsed="false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6" t="str">
        <f aca="false">IF(OR(F184="",H184=""),"",IF(AND(F184="Yes",H184&gt;=$B$3),"Pass","Not yet"))</f>
        <v/>
      </c>
      <c r="L184" s="9"/>
      <c r="M184" s="9"/>
    </row>
    <row r="185" customFormat="false" ht="15" hidden="false" customHeight="false" outlineLevel="0" collapsed="false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6" t="str">
        <f aca="false">IF(OR(F185="",H185=""),"",IF(AND(F185="Yes",H185&gt;=$B$3),"Pass","Not yet"))</f>
        <v/>
      </c>
      <c r="L185" s="9"/>
      <c r="M185" s="9"/>
    </row>
    <row r="186" customFormat="false" ht="15" hidden="false" customHeight="false" outlineLevel="0" collapsed="false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6" t="str">
        <f aca="false">IF(OR(F186="",H186=""),"",IF(AND(F186="Yes",H186&gt;=$B$3),"Pass","Not yet"))</f>
        <v/>
      </c>
      <c r="L186" s="9"/>
      <c r="M186" s="9"/>
    </row>
    <row r="187" customFormat="false" ht="15" hidden="false" customHeight="false" outlineLevel="0" collapsed="false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6" t="str">
        <f aca="false">IF(OR(F187="",H187=""),"",IF(AND(F187="Yes",H187&gt;=$B$3),"Pass","Not yet"))</f>
        <v/>
      </c>
      <c r="L187" s="9"/>
      <c r="M187" s="9"/>
    </row>
    <row r="188" customFormat="false" ht="15" hidden="false" customHeight="false" outlineLevel="0" collapsed="false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6" t="str">
        <f aca="false">IF(OR(F188="",H188=""),"",IF(AND(F188="Yes",H188&gt;=$B$3),"Pass","Not yet"))</f>
        <v/>
      </c>
      <c r="L188" s="9"/>
      <c r="M188" s="9"/>
    </row>
    <row r="189" customFormat="false" ht="15" hidden="false" customHeight="false" outlineLevel="0" collapsed="false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6" t="str">
        <f aca="false">IF(OR(F189="",H189=""),"",IF(AND(F189="Yes",H189&gt;=$B$3),"Pass","Not yet"))</f>
        <v/>
      </c>
      <c r="L189" s="9"/>
      <c r="M189" s="9"/>
    </row>
    <row r="190" customFormat="false" ht="15" hidden="false" customHeight="false" outlineLevel="0" collapsed="false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6" t="str">
        <f aca="false">IF(OR(F190="",H190=""),"",IF(AND(F190="Yes",H190&gt;=$B$3),"Pass","Not yet"))</f>
        <v/>
      </c>
      <c r="L190" s="9"/>
      <c r="M190" s="9"/>
    </row>
    <row r="191" customFormat="false" ht="15" hidden="false" customHeight="false" outlineLevel="0" collapsed="false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6" t="str">
        <f aca="false">IF(OR(F191="",H191=""),"",IF(AND(F191="Yes",H191&gt;=$B$3),"Pass","Not yet"))</f>
        <v/>
      </c>
      <c r="L191" s="9"/>
      <c r="M191" s="9"/>
    </row>
    <row r="192" customFormat="false" ht="15" hidden="false" customHeight="false" outlineLevel="0" collapsed="false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6" t="str">
        <f aca="false">IF(OR(F192="",H192=""),"",IF(AND(F192="Yes",H192&gt;=$B$3),"Pass","Not yet"))</f>
        <v/>
      </c>
      <c r="L192" s="9"/>
      <c r="M192" s="9"/>
    </row>
    <row r="193" customFormat="false" ht="15" hidden="false" customHeight="false" outlineLevel="0" collapsed="false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6" t="str">
        <f aca="false">IF(OR(F193="",H193=""),"",IF(AND(F193="Yes",H193&gt;=$B$3),"Pass","Not yet"))</f>
        <v/>
      </c>
      <c r="L193" s="9"/>
      <c r="M193" s="9"/>
    </row>
    <row r="194" customFormat="false" ht="15" hidden="false" customHeight="false" outlineLevel="0" collapsed="false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6" t="str">
        <f aca="false">IF(OR(F194="",H194=""),"",IF(AND(F194="Yes",H194&gt;=$B$3),"Pass","Not yet"))</f>
        <v/>
      </c>
      <c r="L194" s="9"/>
      <c r="M194" s="9"/>
    </row>
    <row r="195" customFormat="false" ht="15" hidden="false" customHeight="false" outlineLevel="0" collapsed="false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6" t="str">
        <f aca="false">IF(OR(F195="",H195=""),"",IF(AND(F195="Yes",H195&gt;=$B$3),"Pass","Not yet"))</f>
        <v/>
      </c>
      <c r="L195" s="9"/>
      <c r="M195" s="9"/>
    </row>
    <row r="196" customFormat="false" ht="15" hidden="false" customHeight="false" outlineLevel="0" collapsed="false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6" t="str">
        <f aca="false">IF(OR(F196="",H196=""),"",IF(AND(F196="Yes",H196&gt;=$B$3),"Pass","Not yet"))</f>
        <v/>
      </c>
      <c r="L196" s="9"/>
      <c r="M196" s="9"/>
    </row>
    <row r="197" customFormat="false" ht="15" hidden="false" customHeight="false" outlineLevel="0" collapsed="false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6" t="str">
        <f aca="false">IF(OR(F197="",H197=""),"",IF(AND(F197="Yes",H197&gt;=$B$3),"Pass","Not yet"))</f>
        <v/>
      </c>
      <c r="L197" s="9"/>
      <c r="M197" s="9"/>
    </row>
    <row r="198" customFormat="false" ht="15" hidden="false" customHeight="false" outlineLevel="0" collapsed="false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6" t="str">
        <f aca="false">IF(OR(F198="",H198=""),"",IF(AND(F198="Yes",H198&gt;=$B$3),"Pass","Not yet"))</f>
        <v/>
      </c>
      <c r="L198" s="9"/>
      <c r="M198" s="9"/>
    </row>
    <row r="199" customFormat="false" ht="15" hidden="false" customHeight="false" outlineLevel="0" collapsed="false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6" t="str">
        <f aca="false">IF(OR(F199="",H199=""),"",IF(AND(F199="Yes",H199&gt;=$B$3),"Pass","Not yet"))</f>
        <v/>
      </c>
      <c r="L199" s="9"/>
      <c r="M199" s="9"/>
    </row>
    <row r="200" customFormat="false" ht="15" hidden="false" customHeight="false" outlineLevel="0" collapsed="false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6" t="str">
        <f aca="false">IF(OR(F200="",H200=""),"",IF(AND(F200="Yes",H200&gt;=$B$3),"Pass","Not yet"))</f>
        <v/>
      </c>
      <c r="L200" s="9"/>
      <c r="M200" s="9"/>
    </row>
    <row r="201" customFormat="false" ht="15" hidden="false" customHeight="false" outlineLevel="0" collapsed="false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6" t="str">
        <f aca="false">IF(OR(F201="",H201=""),"",IF(AND(F201="Yes",H201&gt;=$B$3),"Pass","Not yet"))</f>
        <v/>
      </c>
      <c r="L201" s="9"/>
      <c r="M201" s="9"/>
    </row>
    <row r="202" customFormat="false" ht="15" hidden="false" customHeight="false" outlineLevel="0" collapsed="false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6" t="str">
        <f aca="false">IF(OR(F202="",H202=""),"",IF(AND(F202="Yes",H202&gt;=$B$3),"Pass","Not yet"))</f>
        <v/>
      </c>
      <c r="L202" s="9"/>
      <c r="M202" s="9"/>
    </row>
    <row r="203" customFormat="false" ht="15" hidden="false" customHeight="false" outlineLevel="0" collapsed="false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6" t="str">
        <f aca="false">IF(OR(F203="",H203=""),"",IF(AND(F203="Yes",H203&gt;=$B$3),"Pass","Not yet"))</f>
        <v/>
      </c>
      <c r="L203" s="9"/>
      <c r="M203" s="9"/>
    </row>
    <row r="204" customFormat="false" ht="15" hidden="false" customHeight="false" outlineLevel="0" collapsed="false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6" t="str">
        <f aca="false">IF(OR(F204="",H204=""),"",IF(AND(F204="Yes",H204&gt;=$B$3),"Pass","Not yet"))</f>
        <v/>
      </c>
      <c r="L204" s="9"/>
      <c r="M204" s="9"/>
    </row>
    <row r="205" customFormat="false" ht="15" hidden="false" customHeight="false" outlineLevel="0" collapsed="false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6" t="str">
        <f aca="false">IF(OR(F205="",H205=""),"",IF(AND(F205="Yes",H205&gt;=$B$3),"Pass","Not yet"))</f>
        <v/>
      </c>
      <c r="L205" s="9"/>
      <c r="M205" s="9"/>
    </row>
    <row r="206" customFormat="false" ht="15" hidden="false" customHeight="false" outlineLevel="0" collapsed="false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6" t="str">
        <f aca="false">IF(OR(F206="",H206=""),"",IF(AND(F206="Yes",H206&gt;=$B$3),"Pass","Not yet"))</f>
        <v/>
      </c>
      <c r="L206" s="9"/>
      <c r="M206" s="9"/>
    </row>
  </sheetData>
  <dataValidations count="3">
    <dataValidation allowBlank="true" errorStyle="stop" operator="between" showDropDown="false" showErrorMessage="false" showInputMessage="false" sqref="D7:D206" type="list">
      <formula1>Checklist!$B$5:$B$14</formula1>
      <formula2>0</formula2>
    </dataValidation>
    <dataValidation allowBlank="true" errorStyle="stop" operator="between" showDropDown="false" showErrorMessage="false" showInputMessage="false" sqref="F7:F206" type="list">
      <formula1>"Yes,No"</formula1>
      <formula2>0</formula2>
    </dataValidation>
    <dataValidation allowBlank="true" errorStyle="stop" operator="between" showDropDown="false" showErrorMessage="false" showInputMessage="false" sqref="G7:G206" type="list">
      <formula1>"Role-play,Observed live call,Recorded call review,Quiz"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2026-10-16T09:50:02Z</dcterms:created>
  <dc:creator>openpyxl</dc:creator>
  <dc:description/>
  <dc:language>en-US</dc:language>
  <cp:lastModifiedBy/>
  <dcterms:modified xsi:type="dcterms:W3CDTF">2026-10-16T09:50:02Z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